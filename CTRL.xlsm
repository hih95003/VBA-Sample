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tables/table5.xml" ContentType="application/vnd.openxmlformats-officedocument.spreadsheetml.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 tabRatio="856"/>
  </bookViews>
  <sheets>
    <sheet name="CTRL" sheetId="1" r:id="rId1"/>
    <sheet name="Ladder" sheetId="44" r:id="rId2"/>
    <sheet name="Holiday" sheetId="42" r:id="rId3"/>
    <sheet name="Test" sheetId="40" r:id="rId4"/>
    <sheet name="Array" sheetId="7" r:id="rId5"/>
    <sheet name="MM" sheetId="36" r:id="rId6"/>
    <sheet name="FX" sheetId="38" r:id="rId7"/>
    <sheet name="BS" sheetId="39" r:id="rId8"/>
    <sheet name="CCY" sheetId="37" r:id="rId9"/>
    <sheet name="Sheet2" sheetId="2" r:id="rId10"/>
    <sheet name="Sheet3" sheetId="3" r:id="rId11"/>
    <sheet name="Sheet4" sheetId="5" r:id="rId12"/>
    <sheet name="Sheet5" sheetId="6" r:id="rId13"/>
    <sheet name="Sheet7" sheetId="8" r:id="rId14"/>
    <sheet name="Sheet8" sheetId="33" r:id="rId15"/>
    <sheet name="Math" sheetId="45" r:id="rId16"/>
  </sheets>
  <functionGroups builtInGroupCount="17"/>
  <definedNames>
    <definedName name="BaseDate">CTRL!$B$1</definedName>
    <definedName name="_xlnm.Criteria" localSheetId="12">Sheet5!$A$1:$J$2</definedName>
    <definedName name="daily_s1.php?prec_no_44_block_no_47662_year_2015_month_1_day__view__1" localSheetId="13">Sheet7!$A$4:$U$38</definedName>
    <definedName name="ExeDate">CTRL!$B$4</definedName>
    <definedName name="ExternalData_1" localSheetId="7" hidden="1">BS!$A$1:$F$26</definedName>
    <definedName name="ExternalData_1" localSheetId="8">CCY!#REF!</definedName>
    <definedName name="ExternalData_1" localSheetId="6" hidden="1">FX!$A$1:$K$9</definedName>
    <definedName name="ExternalData_1" localSheetId="5">MM!#REF!</definedName>
    <definedName name="ExternalData_1" localSheetId="10" hidden="1">Sheet3!$B$2:$K$12</definedName>
    <definedName name="ExternalData_1" localSheetId="13">Sheet7!#REF!</definedName>
    <definedName name="ExternalData_1" localSheetId="14">Sheet8!#REF!</definedName>
    <definedName name="ExternalData_1" localSheetId="3" hidden="1">Test!#REF!</definedName>
    <definedName name="ExternalData_2" localSheetId="8">CCY!#REF!</definedName>
    <definedName name="ExternalData_2" localSheetId="5">MM!#REF!</definedName>
    <definedName name="ExternalData_2" localSheetId="11">Sheet4!#REF!</definedName>
    <definedName name="ExternalData_2" localSheetId="13">Sheet7!#REF!</definedName>
    <definedName name="ExternalData_2" localSheetId="14">Sheet8!$A$4:$E$5</definedName>
    <definedName name="ExternalData_3" localSheetId="8">CCY!#REF!</definedName>
    <definedName name="ExternalData_3" localSheetId="5">MM!#REF!</definedName>
    <definedName name="ExternalData_3" localSheetId="11">Sheet4!#REF!</definedName>
    <definedName name="ExternalData_4" localSheetId="8" hidden="1">CCY!$A$1:$B$4</definedName>
    <definedName name="ExternalData_4" localSheetId="5">MM!#REF!</definedName>
    <definedName name="ExternalData_5" localSheetId="5">MM!#REF!</definedName>
    <definedName name="ExternalData_6" localSheetId="5">MM!#REF!</definedName>
    <definedName name="ExternalData_7" localSheetId="5" hidden="1">MM!$A$1:$J$21</definedName>
    <definedName name="_xlnm.Extract" localSheetId="12">Sheet5!$A$4:$J$4</definedName>
    <definedName name="FilterConds">Sheet5!$A$1:$J$2</definedName>
    <definedName name="FilterOut">Sheet5!$A$4:$J$4</definedName>
    <definedName name="NewData" localSheetId="12">Sheet5!$A$5:$J$5</definedName>
    <definedName name="NewData">Sheet2!$A$2:$J$2</definedName>
    <definedName name="SptDate">CTRL!$B$3</definedName>
    <definedName name="Tbl_CCY" localSheetId="8">CCY!#REF!</definedName>
    <definedName name="Tbl_MM_1" localSheetId="5">MM!#REF!</definedName>
    <definedName name="Tbl_MM_3" localSheetId="5">MM!#REF!</definedName>
    <definedName name="Tbl_MM_4" localSheetId="5">MM!#REF!</definedName>
    <definedName name="Tbl_MM_5" localSheetId="5">MM!#REF!</definedName>
    <definedName name="TomDate">CTRL!$B$2</definedName>
    <definedName name="資金取引" localSheetId="5">MM!#REF!</definedName>
    <definedName name="資金取引" localSheetId="9">Sheet2!#REF!</definedName>
    <definedName name="資金取引" localSheetId="12">Sheet5!#REF!</definedName>
    <definedName name="資金取引_2" localSheetId="9">Sheet2!#REF!</definedName>
    <definedName name="資金取引_2" localSheetId="12">Sheet5!#REF!</definedName>
    <definedName name="資金取引_3" localSheetId="9">Sheet2!#REF!</definedName>
    <definedName name="資金取引_3" localSheetId="12">Sheet5!#REF!</definedName>
    <definedName name="資金取引_4" localSheetId="6">FX!#REF!</definedName>
    <definedName name="資金取引_4" localSheetId="5">MM!#REF!</definedName>
    <definedName name="資金取引_4" localSheetId="9">Sheet2!$A$1:$J$11</definedName>
    <definedName name="資金取引_4" localSheetId="12">Sheet5!$A$4:$J$14</definedName>
  </definedNames>
  <calcPr calcId="145621"/>
  <fileRecoveryPr repairLoad="1"/>
</workbook>
</file>

<file path=xl/calcChain.xml><?xml version="1.0" encoding="utf-8"?>
<calcChain xmlns="http://schemas.openxmlformats.org/spreadsheetml/2006/main">
  <c r="K8" i="45" l="1"/>
  <c r="L3" i="45"/>
  <c r="L4" i="45"/>
  <c r="L5" i="45"/>
  <c r="L6" i="45" s="1"/>
  <c r="L8" i="45" s="1"/>
  <c r="L7" i="45"/>
  <c r="I3" i="45"/>
  <c r="I4" i="45" s="1"/>
  <c r="J3" i="45"/>
  <c r="J4" i="45" s="1"/>
  <c r="K3" i="45"/>
  <c r="K4" i="45" s="1"/>
  <c r="M3" i="45"/>
  <c r="M4" i="45" s="1"/>
  <c r="I5" i="45"/>
  <c r="I6" i="45" s="1"/>
  <c r="I8" i="45" s="1"/>
  <c r="J5" i="45"/>
  <c r="J6" i="45" s="1"/>
  <c r="J8" i="45" s="1"/>
  <c r="K5" i="45"/>
  <c r="K6" i="45" s="1"/>
  <c r="M5" i="45"/>
  <c r="M6" i="45" s="1"/>
  <c r="M8" i="45" s="1"/>
  <c r="I7" i="45"/>
  <c r="J7" i="45"/>
  <c r="K7" i="45"/>
  <c r="M7" i="45"/>
  <c r="C7" i="45"/>
  <c r="D7" i="45"/>
  <c r="D8" i="45" s="1"/>
  <c r="E7" i="45"/>
  <c r="F7" i="45"/>
  <c r="F8" i="45" s="1"/>
  <c r="G7" i="45"/>
  <c r="H7" i="45"/>
  <c r="H8" i="45" s="1"/>
  <c r="B7" i="45"/>
  <c r="C5" i="45"/>
  <c r="C6" i="45" s="1"/>
  <c r="C8" i="45" s="1"/>
  <c r="D5" i="45"/>
  <c r="D6" i="45" s="1"/>
  <c r="E5" i="45"/>
  <c r="E6" i="45" s="1"/>
  <c r="E8" i="45" s="1"/>
  <c r="F5" i="45"/>
  <c r="F6" i="45" s="1"/>
  <c r="G5" i="45"/>
  <c r="G6" i="45" s="1"/>
  <c r="G8" i="45" s="1"/>
  <c r="H5" i="45"/>
  <c r="H6" i="45" s="1"/>
  <c r="B5" i="45"/>
  <c r="B6" i="45" s="1"/>
  <c r="B8" i="45" s="1"/>
  <c r="C3" i="45"/>
  <c r="C4" i="45" s="1"/>
  <c r="D3" i="45"/>
  <c r="D4" i="45" s="1"/>
  <c r="E3" i="45"/>
  <c r="E4" i="45" s="1"/>
  <c r="F3" i="45"/>
  <c r="F4" i="45" s="1"/>
  <c r="G3" i="45"/>
  <c r="G4" i="45" s="1"/>
  <c r="H3" i="45"/>
  <c r="H4" i="45" s="1"/>
  <c r="B3" i="45"/>
  <c r="B4" i="45" s="1"/>
  <c r="Q3" i="40" l="1"/>
  <c r="Q4" i="40"/>
  <c r="Q5" i="40"/>
  <c r="Q6" i="40"/>
  <c r="Q7" i="40"/>
  <c r="Q8" i="40"/>
  <c r="Q9" i="40"/>
  <c r="Q10" i="40"/>
  <c r="Q11" i="40"/>
  <c r="Q12" i="40"/>
  <c r="Q13" i="40"/>
  <c r="Q14" i="40"/>
  <c r="Q15" i="40"/>
  <c r="Q16" i="40"/>
  <c r="Q17" i="40"/>
  <c r="Q18" i="40"/>
  <c r="Q19" i="40"/>
  <c r="Q20" i="40"/>
  <c r="Q21" i="40"/>
  <c r="Q2" i="40"/>
  <c r="R3" i="40"/>
  <c r="R4" i="40"/>
  <c r="R5" i="40"/>
  <c r="R6" i="40"/>
  <c r="R7" i="40"/>
  <c r="R8" i="40"/>
  <c r="R9" i="40"/>
  <c r="R10" i="40"/>
  <c r="R11" i="40"/>
  <c r="R12" i="40"/>
  <c r="R13" i="40"/>
  <c r="R14" i="40"/>
  <c r="R15" i="40"/>
  <c r="R16" i="40"/>
  <c r="R17" i="40"/>
  <c r="R18" i="40"/>
  <c r="R19" i="40"/>
  <c r="R20" i="40"/>
  <c r="R21" i="40"/>
  <c r="R2" i="40"/>
  <c r="O2" i="40"/>
  <c r="P3" i="40"/>
  <c r="P4" i="40"/>
  <c r="P5" i="40"/>
  <c r="P6" i="40"/>
  <c r="P7" i="40"/>
  <c r="P8" i="40"/>
  <c r="P9" i="40"/>
  <c r="P10" i="40"/>
  <c r="P11" i="40"/>
  <c r="P12" i="40"/>
  <c r="P13" i="40"/>
  <c r="P14" i="40"/>
  <c r="P15" i="40"/>
  <c r="P16" i="40"/>
  <c r="P17" i="40"/>
  <c r="P18" i="40"/>
  <c r="P19" i="40"/>
  <c r="P20" i="40"/>
  <c r="P21" i="40"/>
  <c r="P2" i="40"/>
  <c r="O3" i="40"/>
  <c r="O4" i="40"/>
  <c r="O5" i="40"/>
  <c r="O6" i="40"/>
  <c r="O7" i="40"/>
  <c r="O8" i="40"/>
  <c r="O9" i="40"/>
  <c r="O10" i="40"/>
  <c r="O11" i="40"/>
  <c r="O12" i="40"/>
  <c r="O13" i="40"/>
  <c r="O14" i="40"/>
  <c r="O15" i="40"/>
  <c r="O16" i="40"/>
  <c r="O17" i="40"/>
  <c r="O18" i="40"/>
  <c r="O19" i="40"/>
  <c r="O20" i="40"/>
  <c r="O21" i="40"/>
  <c r="B4" i="1" l="1"/>
  <c r="B3" i="1"/>
  <c r="B2" i="1"/>
  <c r="E11" i="44" l="1"/>
  <c r="E10" i="44"/>
  <c r="E9" i="44"/>
  <c r="C2" i="44"/>
  <c r="C3" i="44"/>
  <c r="C4" i="44"/>
  <c r="F20" i="44"/>
  <c r="F19" i="44"/>
  <c r="F17" i="44"/>
  <c r="F18" i="44"/>
  <c r="F5" i="44"/>
  <c r="F4" i="44"/>
  <c r="F3" i="44"/>
  <c r="F2" i="44"/>
  <c r="F6" i="44"/>
  <c r="F7" i="44"/>
  <c r="F8" i="44"/>
  <c r="F9" i="44"/>
  <c r="F10" i="44"/>
  <c r="F11" i="44"/>
  <c r="F16" i="44"/>
  <c r="F15" i="44"/>
  <c r="F14" i="44"/>
  <c r="F13" i="44"/>
  <c r="F12" i="44"/>
  <c r="D9" i="44"/>
  <c r="D8" i="44"/>
  <c r="D7" i="44"/>
  <c r="D6" i="44"/>
  <c r="D5" i="44"/>
  <c r="D4" i="44"/>
  <c r="D3" i="44"/>
  <c r="D2" i="44"/>
  <c r="B5" i="44"/>
  <c r="B6" i="44"/>
  <c r="B7" i="44"/>
  <c r="B8" i="44"/>
  <c r="B9" i="44"/>
  <c r="B10" i="44"/>
  <c r="B11" i="44"/>
  <c r="B4" i="44"/>
  <c r="B3" i="44"/>
  <c r="B2" i="44"/>
</calcChain>
</file>

<file path=xl/connections.xml><?xml version="1.0" encoding="utf-8"?>
<connections xmlns="http://schemas.openxmlformats.org/spreadsheetml/2006/main">
  <connection id="1" keepAlive="1" name="接続" type="5" refreshedVersion="0" background="1">
    <dbPr connection="Provider=Microsoft.ACE.OLEDB.12.0;Data Source=C:\Users\MHY\Documents\Test\CTRL.accdb" commandType="0"/>
  </connection>
  <connection id="2" keepAlive="1" name="接続1" type="5" refreshedVersion="0" background="1">
    <dbPr connection="Provider=Microsoft.ACE.OLEDB.12.0;Data Source=C:\Users\MHY\Documents\Test\CTRL.accdb" commandType="0"/>
  </connection>
  <connection id="3" name="接続10" type="4" refreshedVersion="4" saveData="1">
    <webPr xl2000="1" url="http://www.data.jma.go.jp/obd/stats/etrn/view/daily_s1.php?prec_no=44&amp;block_no=47662&amp;year=2015&amp;month=1&amp;day=&amp;view=" htmlTables="1" htmlFormat="all">
      <tables count="1">
        <x v="3"/>
      </tables>
    </webPr>
  </connection>
  <connection id="4" name="接続11" type="4" refreshedVersion="0" background="1">
    <webPr url="http://www.data.jma.go.jp/obd/stats/etrn/view/daily_s1.php?prec_no=44&amp;block_no=47662&amp;year=2015&amp;month=1&amp;day=&amp;view=" htmlTables="1" htmlFormat="all"/>
  </connection>
  <connection id="5" name="接続12" type="4" refreshedVersion="4" background="1">
    <webPr xl2000="1" url="http://www.data.jma.go.jp/obd/stats/etrn/view/daily_s1.php?prec_no=44&amp;block_no=47662&amp;year=2015&amp;month=2&amp;day=&amp;view=" htmlTables="1" htmlFormat="all">
      <tables count="1">
        <x v="3"/>
      </tables>
    </webPr>
  </connection>
  <connection id="6" name="接続13" type="4" refreshedVersion="4" background="1" saveData="1">
    <webPr sourceData="1" parsePre="1" consecutive="1" xl2000="1" url="http://www.data.jma.go.jp/obd/stats/etrn/view/daily_s1.php?prec_no=44&amp;block_no=47662&amp;year=2015&amp;month=1&amp;day=&amp;view=" htmlTables="1">
      <tables count="1">
        <s v="tablefix1"/>
      </tables>
    </webPr>
  </connection>
  <connection id="7" name="接続14" type="4" refreshedVersion="4" background="1">
    <webPr xl2000="1" url="http://www.data.jma.go.jp/obd/stats/etrn/view/daily_s1.php?prec_no=44&amp;block_no=47662&amp;year=2015&amp;month=2&amp;day=&amp;view=" htmlTables="1" htmlFormat="all">
      <tables count="1">
        <x v="3"/>
      </tables>
    </webPr>
  </connection>
  <connection id="8" keepAlive="1" name="接続15" type="5" refreshedVersion="0" background="1">
    <dbPr connection="Provider=Microsoft.ACE.OLEDB.12.0;Data Source=C:\Users\MHY\Documents\Test\CTRL.accdb" commandType="0"/>
  </connection>
  <connection id="9" keepAlive="1" name="接続16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MM;"/>
  </connection>
  <connection id="10" keepAlive="1" name="接続17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FX;"/>
  </connection>
  <connection id="11" name="接続18" type="4" refreshedVersion="4" saveData="1">
    <webPr xl2000="1" url="http://www.data.jma.go.jp/obd/stats/etrn/view/daily_s1.php?prec_no=44&amp;block_no=47662&amp;year=2015&amp;month=2&amp;day=&amp;view=" htmlTables="1" htmlFormat="all">
      <tables count="1">
        <x v="3"/>
      </tables>
    </webPr>
  </connection>
  <connection id="12" keepAlive="1" name="接続19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BS;"/>
  </connection>
  <connection id="13" keepAlive="1" name="接続2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MM Where CCY = 'JPY'"/>
  </connection>
  <connection id="14" keepAlive="1" name="接続20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CCY;"/>
  </connection>
  <connection id="15" keepAlive="1" name="接続22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MM Where CCY = 'JPY'"/>
  </connection>
  <connection id="16" keepAlive="1" name="接続3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MM Where CCY = 'JPY'"/>
  </connection>
  <connection id="17" name="接続4" type="4" refreshedVersion="0" background="1">
    <webPr url="https://site1.sbisec.co.jp/ETGate/?_ControlID=WPLETpfR001Control&amp;_PageID=DefaultPID&amp;_DataStoreID=DSWPLETpfR001Control&amp;_ActionID=DefaultAID&amp;getFlg=on" htmlTables="1" htmlFormat="all"/>
  </connection>
  <connection id="18" name="接続5" type="4" refreshedVersion="4" background="1">
    <webPr sourceData="1" parsePre="1" consecutive="1" xl2000="1" url="https://site1.sbisec.co.jp/ETGate/?_ControlID=WPLETpfR001Control&amp;_PageID=DefaultPID&amp;_DataStoreID=DSWPLETpfR001Control&amp;_ActionID=DefaultAID&amp;getFlg=on" htmlTables="1"/>
  </connection>
  <connection id="19" name="接続6" type="4" refreshedVersion="4" background="1">
    <webPr sourceData="1" parsePre="1" consecutive="1" xl2000="1" url="https://site1.sbisec.co.jp/ETGate/?_ControlID=WPLETpfR001Control&amp;_PageID=DefaultPID&amp;_DataStoreID=DSWPLETpfR001Control&amp;_ActionID=DefaultAID&amp;getFlg=on" htmlTables="1"/>
  </connection>
  <connection id="20" name="接続7" type="4" refreshedVersion="0" background="1">
    <webPr url="http://www.data.jma.go.jp/odb.stats/etrn/view/daily_s1.php?prec_no=44&amp;block_no=47662&amp;" htmlTables="1" htmlFormat="all"/>
  </connection>
  <connection id="21" name="接続8" type="4" refreshedVersion="0" background="1">
    <webPr url="http://www.data.jma.go.jp/odb.stats/etrn/view/daily_s1.php?prec_no=44&amp;block_no=47662&amp;year=2015&amp;month=1&amp;day=&amp;view=" htmlTables="1" htmlFormat="all"/>
  </connection>
  <connection id="22" name="接続9" type="4" refreshedVersion="0" background="1">
    <webPr url="http://www.data.jma.go.jp/odb/stats/etrn/view/daily_s1.php?prec_no=44&amp;block_no=47662&amp;year=2015&amp;month=1&amp;day=&amp;view=" htmlTables="1" htmlFormat="all"/>
  </connection>
</connections>
</file>

<file path=xl/sharedStrings.xml><?xml version="1.0" encoding="utf-8"?>
<sst xmlns="http://schemas.openxmlformats.org/spreadsheetml/2006/main" count="824" uniqueCount="292">
  <si>
    <t>管理ファイル</t>
    <rPh sb="0" eb="2">
      <t>カンリ</t>
    </rPh>
    <phoneticPr fontId="1"/>
  </si>
  <si>
    <t>＃</t>
    <phoneticPr fontId="1"/>
  </si>
  <si>
    <t>ディレクトリ</t>
    <phoneticPr fontId="1"/>
  </si>
  <si>
    <t>ファイル名</t>
    <rPh sb="4" eb="5">
      <t>メイ</t>
    </rPh>
    <phoneticPr fontId="1"/>
  </si>
  <si>
    <t>シート名</t>
    <rPh sb="3" eb="4">
      <t>メイ</t>
    </rPh>
    <phoneticPr fontId="1"/>
  </si>
  <si>
    <t>内容</t>
    <rPh sb="0" eb="2">
      <t>ナイヨウ</t>
    </rPh>
    <phoneticPr fontId="1"/>
  </si>
  <si>
    <t>資金取引明細</t>
    <rPh sb="0" eb="2">
      <t>シキン</t>
    </rPh>
    <rPh sb="2" eb="4">
      <t>トリヒキ</t>
    </rPh>
    <rPh sb="4" eb="6">
      <t>メイサイ</t>
    </rPh>
    <phoneticPr fontId="1"/>
  </si>
  <si>
    <t>為替取引明細</t>
    <rPh sb="0" eb="2">
      <t>カワセ</t>
    </rPh>
    <rPh sb="2" eb="4">
      <t>トリヒキ</t>
    </rPh>
    <rPh sb="4" eb="6">
      <t>メイサイ</t>
    </rPh>
    <phoneticPr fontId="1"/>
  </si>
  <si>
    <t>B/S残高明細</t>
    <rPh sb="3" eb="5">
      <t>ザンダカ</t>
    </rPh>
    <rPh sb="5" eb="7">
      <t>メイサイ</t>
    </rPh>
    <phoneticPr fontId="1"/>
  </si>
  <si>
    <t>為替評価レート</t>
    <rPh sb="0" eb="2">
      <t>カワセ</t>
    </rPh>
    <rPh sb="2" eb="4">
      <t>ヒョウカ</t>
    </rPh>
    <phoneticPr fontId="1"/>
  </si>
  <si>
    <t>基準日：</t>
    <rPh sb="0" eb="3">
      <t>キジュンビ</t>
    </rPh>
    <phoneticPr fontId="1"/>
  </si>
  <si>
    <t>(TOM)</t>
    <phoneticPr fontId="1"/>
  </si>
  <si>
    <t>(SPOT)</t>
    <phoneticPr fontId="1"/>
  </si>
  <si>
    <t>(TOM決済執行日)</t>
    <rPh sb="4" eb="6">
      <t>ケッサイ</t>
    </rPh>
    <rPh sb="6" eb="8">
      <t>シッコウ</t>
    </rPh>
    <rPh sb="8" eb="9">
      <t>ビ</t>
    </rPh>
    <phoneticPr fontId="1"/>
  </si>
  <si>
    <t>C:\Users\MHY\Documents\Test\</t>
    <phoneticPr fontId="1"/>
  </si>
  <si>
    <t>C:\Users\MHY\Documents\Test\New\</t>
    <phoneticPr fontId="1"/>
  </si>
  <si>
    <t>CTRL</t>
    <phoneticPr fontId="1"/>
  </si>
  <si>
    <t>MM</t>
    <phoneticPr fontId="1"/>
  </si>
  <si>
    <t>FX</t>
    <phoneticPr fontId="1"/>
  </si>
  <si>
    <t>BS</t>
    <phoneticPr fontId="1"/>
  </si>
  <si>
    <t>FX_Rate</t>
    <phoneticPr fontId="1"/>
  </si>
  <si>
    <t>CCY</t>
    <phoneticPr fontId="1"/>
  </si>
  <si>
    <t>C:\Users\MHY\Documents\Test\Data\</t>
    <phoneticPr fontId="1"/>
  </si>
  <si>
    <t>TradeCode</t>
  </si>
  <si>
    <t>CounterpartyCode</t>
  </si>
  <si>
    <t>ACCode</t>
  </si>
  <si>
    <t>CCY</t>
  </si>
  <si>
    <t>Amount</t>
  </si>
  <si>
    <t>Maturity</t>
  </si>
  <si>
    <t>FinalMaturity</t>
  </si>
  <si>
    <t>DealRate</t>
  </si>
  <si>
    <t>PoolRate</t>
  </si>
  <si>
    <t>None</t>
  </si>
  <si>
    <t>JPY</t>
  </si>
  <si>
    <t>ｚ</t>
  </si>
  <si>
    <t>z</t>
  </si>
  <si>
    <t>現在値</t>
  </si>
  <si>
    <t>前日比</t>
  </si>
  <si>
    <t>前日比率</t>
  </si>
  <si>
    <t>日経平均</t>
    <phoneticPr fontId="1"/>
  </si>
  <si>
    <t>日経225 (F)</t>
    <phoneticPr fontId="1"/>
  </si>
  <si>
    <t>米ダウ平均</t>
    <phoneticPr fontId="1"/>
  </si>
  <si>
    <t>フランクフルトDAX</t>
    <phoneticPr fontId="1"/>
  </si>
  <si>
    <t>S&amp;P/ASX 200</t>
    <phoneticPr fontId="1"/>
  </si>
  <si>
    <t>英国100</t>
    <phoneticPr fontId="1"/>
  </si>
  <si>
    <t>米ドル指数</t>
    <phoneticPr fontId="1"/>
  </si>
  <si>
    <t>Euro Index</t>
    <phoneticPr fontId="1"/>
  </si>
  <si>
    <t>3/30,6/30,9/30,12/30</t>
  </si>
  <si>
    <t>JPY</t>
    <phoneticPr fontId="1"/>
  </si>
  <si>
    <t>4/30</t>
    <phoneticPr fontId="1"/>
  </si>
  <si>
    <t>ｚ</t>
    <phoneticPr fontId="1"/>
  </si>
  <si>
    <t>4/30,5/30</t>
    <phoneticPr fontId="1"/>
  </si>
  <si>
    <t>z</t>
    <phoneticPr fontId="1"/>
  </si>
  <si>
    <t>USD</t>
    <phoneticPr fontId="1"/>
  </si>
  <si>
    <t>EUR</t>
    <phoneticPr fontId="1"/>
  </si>
  <si>
    <t>4/30,5/30,6/30,7/30</t>
    <phoneticPr fontId="1"/>
  </si>
  <si>
    <t>4/30,5/30,6/30,7/30,8/30,9/30,10/30</t>
    <phoneticPr fontId="1"/>
  </si>
  <si>
    <t>4/30,5/30,6/30,7/30,8/30,9/30,10/31</t>
  </si>
  <si>
    <t>4/30,5/30,6/30,7/30,8/30,9/30,10/32</t>
  </si>
  <si>
    <t>日</t>
  </si>
  <si>
    <t>気圧(hPa)</t>
  </si>
  <si>
    <t>降水量(mm)</t>
  </si>
  <si>
    <t>気温(℃)</t>
  </si>
  <si>
    <t>湿度(％)</t>
  </si>
  <si>
    <t>風向・風速(m/s)</t>
  </si>
  <si>
    <t>日照</t>
  </si>
  <si>
    <t>時間</t>
  </si>
  <si>
    <t>(h)</t>
  </si>
  <si>
    <t>雪(cm)</t>
  </si>
  <si>
    <t>天気概況</t>
  </si>
  <si>
    <t>現地</t>
  </si>
  <si>
    <t>海面</t>
  </si>
  <si>
    <t>平均</t>
  </si>
  <si>
    <t>合計</t>
  </si>
  <si>
    <t>最大</t>
  </si>
  <si>
    <t>最高</t>
  </si>
  <si>
    <t>最低</t>
  </si>
  <si>
    <t>最小</t>
  </si>
  <si>
    <t>風速</t>
  </si>
  <si>
    <t>最大風速</t>
  </si>
  <si>
    <t>最大瞬間風速</t>
  </si>
  <si>
    <t>降雪</t>
  </si>
  <si>
    <t>最深積雪</t>
  </si>
  <si>
    <t>昼</t>
  </si>
  <si>
    <t>(06:00-18:00)</t>
  </si>
  <si>
    <t>夜</t>
  </si>
  <si>
    <t>(18:00-翌日06:00)</t>
  </si>
  <si>
    <t>1時間</t>
  </si>
  <si>
    <t>10分間</t>
  </si>
  <si>
    <t>風向</t>
  </si>
  <si>
    <t>値</t>
  </si>
  <si>
    <t>北西</t>
  </si>
  <si>
    <t>北北西</t>
  </si>
  <si>
    <t>--</t>
  </si>
  <si>
    <t>曇時々晴一時雪</t>
  </si>
  <si>
    <t>快晴</t>
  </si>
  <si>
    <t>晴時々曇</t>
  </si>
  <si>
    <t>晴一時曇</t>
  </si>
  <si>
    <t>西北西</t>
  </si>
  <si>
    <t>晴後薄曇</t>
  </si>
  <si>
    <t>北北東</t>
  </si>
  <si>
    <t>曇後晴</t>
  </si>
  <si>
    <t>曇一時晴</t>
  </si>
  <si>
    <t>南南西</t>
  </si>
  <si>
    <t>南</t>
  </si>
  <si>
    <t>曇後時々雨</t>
  </si>
  <si>
    <t>曇時々晴</t>
  </si>
  <si>
    <t>南南東</t>
  </si>
  <si>
    <t>晴</t>
  </si>
  <si>
    <t>1.6 )</t>
  </si>
  <si>
    <t>晴後曇</t>
  </si>
  <si>
    <t>曇</t>
  </si>
  <si>
    <t>大雨一時曇</t>
  </si>
  <si>
    <t>雨後晴</t>
  </si>
  <si>
    <t>南東</t>
  </si>
  <si>
    <t>晴時々薄曇</t>
  </si>
  <si>
    <t>2.5 )</t>
  </si>
  <si>
    <t>曇時々雪後雨</t>
  </si>
  <si>
    <t>曇一時雨</t>
  </si>
  <si>
    <t>雨一時曇</t>
  </si>
  <si>
    <t>雨</t>
  </si>
  <si>
    <t>北</t>
  </si>
  <si>
    <t>曇後一時雨</t>
  </si>
  <si>
    <t>晴時々曇一時雨</t>
  </si>
  <si>
    <t>曇時々雨後一時みぞれ</t>
  </si>
  <si>
    <t>晴時々曇一時雪</t>
  </si>
  <si>
    <t>曇後一時雪</t>
  </si>
  <si>
    <t>雪一時みぞれ後雨</t>
  </si>
  <si>
    <t>年分</t>
    <rPh sb="0" eb="2">
      <t>ネンブン</t>
    </rPh>
    <phoneticPr fontId="1"/>
  </si>
  <si>
    <t>3/30, 6/30,9/30 ,12/30</t>
    <phoneticPr fontId="1"/>
  </si>
  <si>
    <t>4/30, 5/30</t>
    <phoneticPr fontId="1"/>
  </si>
  <si>
    <t>3/30, 6/30,9/30,12/30</t>
    <phoneticPr fontId="1"/>
  </si>
  <si>
    <t>主な要素</t>
  </si>
  <si>
    <t>詳細（気圧・降水量）</t>
  </si>
  <si>
    <t>詳細（気温・蒸気圧・湿度）</t>
  </si>
  <si>
    <t>詳細（風）</t>
  </si>
  <si>
    <t>詳細（日照・雪・その他）</t>
  </si>
  <si>
    <t>原データ</t>
    <rPh sb="0" eb="1">
      <t>ゲン</t>
    </rPh>
    <phoneticPr fontId="1"/>
  </si>
  <si>
    <t>C:\Users\MHY\Documents\Test\</t>
  </si>
  <si>
    <t>CTRL.xlsm</t>
    <phoneticPr fontId="1"/>
  </si>
  <si>
    <t>Data.xlsx</t>
    <phoneticPr fontId="1"/>
  </si>
  <si>
    <t>Japan</t>
    <phoneticPr fontId="5"/>
  </si>
  <si>
    <t>US</t>
    <phoneticPr fontId="5"/>
  </si>
  <si>
    <t>UK</t>
    <phoneticPr fontId="5"/>
  </si>
  <si>
    <t>TOM</t>
    <phoneticPr fontId="1"/>
  </si>
  <si>
    <t>S/N</t>
    <phoneticPr fontId="1"/>
  </si>
  <si>
    <t>T/N</t>
    <phoneticPr fontId="1"/>
  </si>
  <si>
    <t>SPOT</t>
    <phoneticPr fontId="1"/>
  </si>
  <si>
    <t>1W</t>
    <phoneticPr fontId="1"/>
  </si>
  <si>
    <t>1M</t>
    <phoneticPr fontId="1"/>
  </si>
  <si>
    <t>2W</t>
    <phoneticPr fontId="1"/>
  </si>
  <si>
    <t>AU</t>
    <phoneticPr fontId="5"/>
  </si>
  <si>
    <t>NZ</t>
    <phoneticPr fontId="5"/>
  </si>
  <si>
    <t>CTRL.accdb</t>
    <phoneticPr fontId="1"/>
  </si>
  <si>
    <t>USD</t>
  </si>
  <si>
    <t>EUR</t>
  </si>
  <si>
    <t>Rate</t>
  </si>
  <si>
    <t>TradeDate</t>
  </si>
  <si>
    <t>SettlementDate</t>
  </si>
  <si>
    <t>CCY1</t>
  </si>
  <si>
    <t>Amount1</t>
  </si>
  <si>
    <t>CCY2</t>
  </si>
  <si>
    <t>Amount2</t>
  </si>
  <si>
    <t>ClientCode</t>
  </si>
  <si>
    <t>TradeType</t>
  </si>
  <si>
    <t>NA</t>
  </si>
  <si>
    <t>SPOT</t>
  </si>
  <si>
    <t>ｘ</t>
  </si>
  <si>
    <t>x</t>
  </si>
  <si>
    <t>FWD</t>
  </si>
  <si>
    <t>ACName</t>
  </si>
  <si>
    <t>Counterparty</t>
  </si>
  <si>
    <t>Current account</t>
  </si>
  <si>
    <t>Bank of Japan</t>
  </si>
  <si>
    <t>Bank of America</t>
  </si>
  <si>
    <t>SMBC</t>
  </si>
  <si>
    <t>Time deposit</t>
  </si>
  <si>
    <t>SG</t>
  </si>
  <si>
    <t>HSBC</t>
  </si>
  <si>
    <t>Loan</t>
  </si>
  <si>
    <t>client a</t>
  </si>
  <si>
    <t>client b</t>
  </si>
  <si>
    <t>JPy</t>
  </si>
  <si>
    <t>client c</t>
  </si>
  <si>
    <t>client d</t>
  </si>
  <si>
    <t>Deposit</t>
  </si>
  <si>
    <t>Call money</t>
  </si>
  <si>
    <t>Capital</t>
  </si>
  <si>
    <t>CTRL.xlsm</t>
  </si>
  <si>
    <t>出力先</t>
    <rPh sb="0" eb="2">
      <t>シュツリョク</t>
    </rPh>
    <rPh sb="2" eb="3">
      <t>サキ</t>
    </rPh>
    <phoneticPr fontId="1"/>
  </si>
  <si>
    <t>データファイル</t>
    <phoneticPr fontId="1"/>
  </si>
  <si>
    <t>＃</t>
  </si>
  <si>
    <t>シート/テーブル</t>
    <phoneticPr fontId="1"/>
  </si>
  <si>
    <t>ファイル</t>
    <phoneticPr fontId="1"/>
  </si>
  <si>
    <t>Test</t>
    <phoneticPr fontId="1"/>
  </si>
  <si>
    <t>4/30/2016</t>
  </si>
  <si>
    <t>6/30/2016</t>
  </si>
  <si>
    <t>重複</t>
    <rPh sb="0" eb="2">
      <t>ジュウフク</t>
    </rPh>
    <phoneticPr fontId="1"/>
  </si>
  <si>
    <t>最大</t>
    <rPh sb="0" eb="2">
      <t>サイダイ</t>
    </rPh>
    <phoneticPr fontId="1"/>
  </si>
  <si>
    <t>○</t>
  </si>
  <si>
    <t>×</t>
    <phoneticPr fontId="1"/>
  </si>
  <si>
    <t>○</t>
    <phoneticPr fontId="1"/>
  </si>
  <si>
    <t>×</t>
    <phoneticPr fontId="1"/>
  </si>
  <si>
    <t>UniqueCode参照</t>
    <rPh sb="10" eb="12">
      <t>サンショウ</t>
    </rPh>
    <phoneticPr fontId="1"/>
  </si>
  <si>
    <t>重複Code参照</t>
    <rPh sb="0" eb="2">
      <t>ジュウフク</t>
    </rPh>
    <rPh sb="6" eb="8">
      <t>サンショウ</t>
    </rPh>
    <phoneticPr fontId="1"/>
  </si>
  <si>
    <t>Y1</t>
    <phoneticPr fontId="1"/>
  </si>
  <si>
    <t>Y2</t>
    <phoneticPr fontId="1"/>
  </si>
  <si>
    <t>Y3</t>
    <phoneticPr fontId="1"/>
  </si>
  <si>
    <t>Y20</t>
  </si>
  <si>
    <t>Y19</t>
  </si>
  <si>
    <t>Y18</t>
  </si>
  <si>
    <t>Y17</t>
  </si>
  <si>
    <t>Y16</t>
  </si>
  <si>
    <t>Y15</t>
  </si>
  <si>
    <t>Y14</t>
  </si>
  <si>
    <t>Y13</t>
  </si>
  <si>
    <t>Y12</t>
  </si>
  <si>
    <t>Y11</t>
  </si>
  <si>
    <t>Y10</t>
  </si>
  <si>
    <t>Y9</t>
  </si>
  <si>
    <t>Y8</t>
  </si>
  <si>
    <t>Y7</t>
  </si>
  <si>
    <t>Y6</t>
  </si>
  <si>
    <t>Y5</t>
  </si>
  <si>
    <t>Y4</t>
  </si>
  <si>
    <t>Code</t>
    <phoneticPr fontId="1"/>
  </si>
  <si>
    <t>G1</t>
    <phoneticPr fontId="1"/>
  </si>
  <si>
    <t>G2</t>
    <phoneticPr fontId="1"/>
  </si>
  <si>
    <t>G3</t>
    <phoneticPr fontId="1"/>
  </si>
  <si>
    <t>G20</t>
  </si>
  <si>
    <t>G19</t>
  </si>
  <si>
    <t>G18</t>
  </si>
  <si>
    <t>G17</t>
  </si>
  <si>
    <t>G16</t>
  </si>
  <si>
    <t>G15</t>
  </si>
  <si>
    <t>G14</t>
  </si>
  <si>
    <t>G13</t>
  </si>
  <si>
    <t>G12</t>
  </si>
  <si>
    <t>G11</t>
  </si>
  <si>
    <t>G10</t>
  </si>
  <si>
    <t>G9</t>
  </si>
  <si>
    <t>G8</t>
  </si>
  <si>
    <t>G7</t>
  </si>
  <si>
    <t>G6</t>
  </si>
  <si>
    <t>G5</t>
  </si>
  <si>
    <t>G4</t>
  </si>
  <si>
    <t>1</t>
    <phoneticPr fontId="1"/>
  </si>
  <si>
    <t>2</t>
    <phoneticPr fontId="1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</si>
  <si>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</si>
  <si>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</si>
  <si>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</si>
  <si>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</si>
  <si>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</si>
  <si>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</si>
  <si>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</si>
  <si>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</si>
  <si>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</si>
  <si>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</si>
  <si>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</si>
  <si>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</si>
  <si>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</si>
  <si>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</si>
  <si>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</si>
  <si>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</si>
  <si>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</si>
  <si>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</si>
  <si>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1年未満</t>
    <rPh sb="1" eb="2">
      <t>ネン</t>
    </rPh>
    <rPh sb="2" eb="4">
      <t>ミマン</t>
    </rPh>
    <phoneticPr fontId="1"/>
  </si>
  <si>
    <t>5年未満</t>
    <rPh sb="1" eb="2">
      <t>ネン</t>
    </rPh>
    <rPh sb="2" eb="4">
      <t>ミマン</t>
    </rPh>
    <phoneticPr fontId="1"/>
  </si>
  <si>
    <t>3年未満</t>
    <rPh sb="1" eb="2">
      <t>ネン</t>
    </rPh>
    <rPh sb="2" eb="4">
      <t>ミマン</t>
    </rPh>
    <phoneticPr fontId="1"/>
  </si>
  <si>
    <t>7年未満</t>
    <rPh sb="1" eb="2">
      <t>ネン</t>
    </rPh>
    <rPh sb="2" eb="4">
      <t>ミマン</t>
    </rPh>
    <phoneticPr fontId="1"/>
  </si>
  <si>
    <t>10年未満</t>
    <rPh sb="2" eb="3">
      <t>ネン</t>
    </rPh>
    <rPh sb="3" eb="5">
      <t>ミマン</t>
    </rPh>
    <phoneticPr fontId="1"/>
  </si>
  <si>
    <t>期間</t>
    <rPh sb="0" eb="2">
      <t>キカン</t>
    </rPh>
    <phoneticPr fontId="1"/>
  </si>
  <si>
    <t>期日</t>
    <rPh sb="0" eb="2">
      <t>キジツ</t>
    </rPh>
    <phoneticPr fontId="1"/>
  </si>
  <si>
    <t>＃</t>
    <phoneticPr fontId="1"/>
  </si>
  <si>
    <t>ｎ</t>
    <phoneticPr fontId="1"/>
  </si>
  <si>
    <t>ｒ</t>
    <phoneticPr fontId="1"/>
  </si>
  <si>
    <t>ｎPr</t>
    <phoneticPr fontId="1"/>
  </si>
  <si>
    <t>n!</t>
    <phoneticPr fontId="1"/>
  </si>
  <si>
    <t>Ln(n!)</t>
    <phoneticPr fontId="1"/>
  </si>
  <si>
    <t>nLn(n)-n</t>
    <phoneticPr fontId="1"/>
  </si>
  <si>
    <t>sterlingの公式</t>
    <rPh sb="9" eb="11">
      <t>コウシキ</t>
    </rPh>
    <phoneticPr fontId="1"/>
  </si>
  <si>
    <t>元データベース</t>
    <rPh sb="0" eb="1">
      <t>モト</t>
    </rPh>
    <phoneticPr fontId="1"/>
  </si>
  <si>
    <t>データベース</t>
    <phoneticPr fontId="1"/>
  </si>
  <si>
    <t>C:\Users\MHY\Documents\Test\test2\</t>
    <phoneticPr fontId="1"/>
  </si>
  <si>
    <t>C:\Users\MHY\Documents\Test\test1\</t>
    <phoneticPr fontId="1"/>
  </si>
  <si>
    <t>DB2.accdb</t>
    <phoneticPr fontId="1"/>
  </si>
  <si>
    <t>DB1.accdb</t>
    <phoneticPr fontId="1"/>
  </si>
  <si>
    <t>output.csv</t>
    <phoneticPr fontId="1"/>
  </si>
  <si>
    <t>output</t>
    <phoneticPr fontId="1"/>
  </si>
  <si>
    <t>hmeq</t>
    <phoneticPr fontId="1"/>
  </si>
  <si>
    <t>hmeq_yyyymm</t>
    <phoneticPr fontId="1"/>
  </si>
  <si>
    <t>C:\Users\MHY\Documents\Test\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</si>
</sst>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&quot;年後&quot;"/>
    <numFmt numFmtId="177" formatCode="#,##0.00&quot;年後&quot;"/>
    <numFmt numFmtId="178" formatCode="#,##0_);[Red]\(#,##0\)"/>
    <numFmt numFmtId="179" formatCode="0.00_);[Red]\(0.00\)"/>
  </numFmts>
  <fonts count="10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name val="Arial"/>
      <family val="2"/>
    </font>
    <font>
      <sz val="6"/>
      <name val="ＭＳ Ｐゴシック"/>
      <family val="3"/>
      <charset val="128"/>
    </font>
    <font>
      <sz val="10"/>
      <color rgb="FF333333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4">
    <xf numFmtId="0" fontId="0" fillId="0" borderId="0"/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0" xfId="0" applyNumberFormat="1"/>
    <xf numFmtId="0" fontId="2" fillId="0" borderId="0" xfId="0" applyFont="1"/>
    <xf numFmtId="10" fontId="0" fillId="0" borderId="1" xfId="0" applyNumberFormat="1" applyBorder="1"/>
    <xf numFmtId="10" fontId="0" fillId="0" borderId="0" xfId="0" applyNumberFormat="1"/>
    <xf numFmtId="38" fontId="0" fillId="0" borderId="0" xfId="1" applyFont="1" applyAlignment="1"/>
    <xf numFmtId="49" fontId="0" fillId="0" borderId="0" xfId="0" applyNumberFormat="1"/>
    <xf numFmtId="0" fontId="4" fillId="0" borderId="0" xfId="2">
      <alignment vertical="center"/>
    </xf>
    <xf numFmtId="0" fontId="6" fillId="0" borderId="0" xfId="0" applyFont="1" applyAlignment="1">
      <alignment vertical="center" wrapText="1"/>
    </xf>
    <xf numFmtId="0" fontId="7" fillId="0" borderId="0" xfId="3" applyAlignment="1">
      <alignment vertical="center" wrapText="1"/>
    </xf>
    <xf numFmtId="14" fontId="0" fillId="0" borderId="1" xfId="0" applyNumberFormat="1" applyBorder="1"/>
    <xf numFmtId="176" fontId="0" fillId="0" borderId="1" xfId="0" applyNumberFormat="1" applyBorder="1"/>
    <xf numFmtId="177" fontId="0" fillId="0" borderId="1" xfId="0" applyNumberFormat="1" applyBorder="1"/>
    <xf numFmtId="14" fontId="0" fillId="3" borderId="1" xfId="0" applyNumberFormat="1" applyFill="1" applyBorder="1"/>
    <xf numFmtId="0" fontId="0" fillId="0" borderId="0" xfId="0" applyBorder="1"/>
    <xf numFmtId="14" fontId="8" fillId="2" borderId="0" xfId="2" applyNumberFormat="1" applyFont="1" applyFill="1" applyAlignment="1">
      <alignment horizontal="center" vertical="center"/>
    </xf>
    <xf numFmtId="14" fontId="4" fillId="0" borderId="0" xfId="2" applyNumberFormat="1">
      <alignment vertical="center"/>
    </xf>
    <xf numFmtId="0" fontId="0" fillId="0" borderId="1" xfId="0" applyBorder="1" applyAlignment="1">
      <alignment horizontal="right"/>
    </xf>
    <xf numFmtId="177" fontId="0" fillId="0" borderId="1" xfId="0" applyNumberFormat="1" applyBorder="1" applyAlignment="1">
      <alignment horizontal="right"/>
    </xf>
    <xf numFmtId="178" fontId="0" fillId="0" borderId="0" xfId="0" applyNumberFormat="1"/>
    <xf numFmtId="0" fontId="9" fillId="0" borderId="0" xfId="0" applyFont="1"/>
    <xf numFmtId="0" fontId="9" fillId="0" borderId="2" xfId="0" applyFont="1" applyBorder="1"/>
    <xf numFmtId="0" fontId="9" fillId="0" borderId="3" xfId="0" applyFont="1" applyBorder="1"/>
    <xf numFmtId="0" fontId="0" fillId="4" borderId="0" xfId="0" applyFill="1"/>
    <xf numFmtId="0" fontId="0" fillId="0" borderId="0" xfId="0" applyFill="1"/>
    <xf numFmtId="14" fontId="0" fillId="4" borderId="0" xfId="0" applyNumberFormat="1" applyFill="1"/>
    <xf numFmtId="0" fontId="0" fillId="0" borderId="0" xfId="0" applyNumberFormat="1"/>
    <xf numFmtId="0" fontId="0" fillId="4" borderId="0" xfId="0" applyNumberFormat="1" applyFill="1"/>
    <xf numFmtId="0" fontId="0" fillId="0" borderId="4" xfId="0" applyBorder="1"/>
    <xf numFmtId="38" fontId="0" fillId="0" borderId="4" xfId="1" applyFont="1" applyBorder="1" applyAlignment="1"/>
    <xf numFmtId="38" fontId="0" fillId="0" borderId="1" xfId="1" applyFont="1" applyBorder="1" applyAlignment="1"/>
    <xf numFmtId="38" fontId="0" fillId="0" borderId="1" xfId="1" applyFont="1" applyBorder="1" applyAlignment="1">
      <alignment horizontal="right"/>
    </xf>
    <xf numFmtId="0" fontId="0" fillId="0" borderId="5" xfId="0" applyBorder="1"/>
    <xf numFmtId="38" fontId="0" fillId="0" borderId="5" xfId="1" applyFont="1" applyBorder="1" applyAlignment="1"/>
    <xf numFmtId="179" fontId="0" fillId="0" borderId="0" xfId="0" applyNumberFormat="1"/>
    <xf numFmtId="179" fontId="0" fillId="0" borderId="0" xfId="1" applyNumberFormat="1" applyFont="1" applyAlignment="1"/>
    <xf numFmtId="179" fontId="0" fillId="4" borderId="0" xfId="1" applyNumberFormat="1" applyFont="1" applyFill="1" applyAlignment="1"/>
    <xf numFmtId="0" fontId="0" fillId="0" borderId="4" xfId="0" applyFill="1" applyBorder="1"/>
    <xf numFmtId="38" fontId="0" fillId="0" borderId="4" xfId="1" applyFont="1" applyFill="1" applyBorder="1" applyAlignment="1"/>
    <xf numFmtId="179" fontId="0" fillId="0" borderId="0" xfId="1" applyNumberFormat="1" applyFont="1" applyFill="1" applyAlignment="1"/>
  </cellXfs>
  <cellStyles count="4">
    <cellStyle name="ハイパーリンク" xfId="3" builtinId="8"/>
    <cellStyle name="桁区切り" xfId="1" builtinId="6"/>
    <cellStyle name="標準" xfId="0" builtinId="0"/>
    <cellStyle name="標準 2" xfId="2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160020</xdr:colOff>
          <xdr:row>3</xdr:row>
          <xdr:rowOff>15240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160020</xdr:colOff>
          <xdr:row>3</xdr:row>
          <xdr:rowOff>7620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3</xdr:row>
          <xdr:rowOff>160020</xdr:rowOff>
        </xdr:from>
        <xdr:to>
          <xdr:col>8</xdr:col>
          <xdr:colOff>175260</xdr:colOff>
          <xdr:row>6</xdr:row>
          <xdr:rowOff>7620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7</xdr:row>
          <xdr:rowOff>0</xdr:rowOff>
        </xdr:from>
        <xdr:to>
          <xdr:col>8</xdr:col>
          <xdr:colOff>160020</xdr:colOff>
          <xdr:row>9</xdr:row>
          <xdr:rowOff>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160020</xdr:rowOff>
        </xdr:from>
        <xdr:to>
          <xdr:col>8</xdr:col>
          <xdr:colOff>160020</xdr:colOff>
          <xdr:row>12</xdr:row>
          <xdr:rowOff>0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21</xdr:row>
          <xdr:rowOff>0</xdr:rowOff>
        </xdr:from>
        <xdr:to>
          <xdr:col>7</xdr:col>
          <xdr:colOff>601980</xdr:colOff>
          <xdr:row>23</xdr:row>
          <xdr:rowOff>7620</xdr:rowOff>
        </xdr:to>
        <xdr:sp macro="" textlink="">
          <xdr:nvSpPr>
            <xdr:cNvPr id="1035" name="btnDataTran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160020</xdr:rowOff>
        </xdr:from>
        <xdr:to>
          <xdr:col>6</xdr:col>
          <xdr:colOff>175260</xdr:colOff>
          <xdr:row>2</xdr:row>
          <xdr:rowOff>152400</xdr:rowOff>
        </xdr:to>
        <xdr:sp macro="" textlink="">
          <xdr:nvSpPr>
            <xdr:cNvPr id="12289" name="Import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32</xdr:row>
      <xdr:rowOff>0</xdr:rowOff>
    </xdr:from>
    <xdr:to>
      <xdr:col>11</xdr:col>
      <xdr:colOff>304800</xdr:colOff>
      <xdr:row>33</xdr:row>
      <xdr:rowOff>137160</xdr:rowOff>
    </xdr:to>
    <xdr:sp macro="" textlink="">
      <xdr:nvSpPr>
        <xdr:cNvPr id="13313" name="thumbnail" descr="https://i.ytimg.com/an_webp/MWCkiNL7AbU/mqdefault_6s.webp?du=3000&amp;sqp=CNXJ7P0F&amp;rs=AOn4CLBrF4nSBXNu04bW13UCbF4RCHbsQQ"/>
        <xdr:cNvSpPr>
          <a:spLocks noChangeAspect="1" noChangeArrowheads="1"/>
        </xdr:cNvSpPr>
      </xdr:nvSpPr>
      <xdr:spPr bwMode="auto">
        <a:xfrm>
          <a:off x="10988040" y="541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ExternalData_7" backgroundRefresh="0" connectionId="9" autoFormatId="20" applyNumberFormats="0" applyBorderFormats="0" applyFontFormats="1" applyPatternFormats="1" applyAlignmentFormats="0" applyWidthHeightFormats="0">
  <queryTableRefresh nextId="11">
    <queryTableFields count="10">
      <queryTableField id="1" name="TradeCode" tableColumnId="11"/>
      <queryTableField id="2" name="CounterpartyCode" tableColumnId="12"/>
      <queryTableField id="3" name="ACCode" tableColumnId="13"/>
      <queryTableField id="4" name="CCY" tableColumnId="14"/>
      <queryTableField id="5" name="Amount" tableColumnId="15"/>
      <queryTableField id="6" name="Maturity" tableColumnId="16"/>
      <queryTableField id="7" name="FinalMaturity" tableColumnId="17"/>
      <queryTableField id="8" name="DealRate" tableColumnId="18"/>
      <queryTableField id="9" name="PoolRate" tableColumnId="19"/>
      <queryTableField id="10" name="None" tableColumnId="20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10" autoFormatId="20" applyNumberFormats="0" applyBorderFormats="0" applyFontFormats="1" applyPatternFormats="1" applyAlignmentFormats="0" applyWidthHeightFormats="0">
  <queryTableRefresh nextId="12">
    <queryTableFields count="11">
      <queryTableField id="1" name="TradeCode" tableColumnId="12"/>
      <queryTableField id="2" name="TradeDate" tableColumnId="13"/>
      <queryTableField id="3" name="SettlementDate" tableColumnId="14"/>
      <queryTableField id="4" name="DealRate" tableColumnId="15"/>
      <queryTableField id="5" name="CCY1" tableColumnId="16"/>
      <queryTableField id="6" name="Amount1" tableColumnId="17"/>
      <queryTableField id="7" name="CCY2" tableColumnId="18"/>
      <queryTableField id="8" name="Amount2" tableColumnId="19"/>
      <queryTableField id="9" name="ClientCode" tableColumnId="20"/>
      <queryTableField id="10" name="TradeType" tableColumnId="21"/>
      <queryTableField id="11" name="NA" tableColumnId="2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2" autoFormatId="20" applyNumberFormats="0" applyBorderFormats="0" applyFontFormats="1" applyPatternFormats="1" applyAlignmentFormats="0" applyWidthHeightFormats="0">
  <queryTableRefresh nextId="7">
    <queryTableFields count="6">
      <queryTableField id="1" name="ACCode" tableColumnId="7"/>
      <queryTableField id="2" name="ACName" tableColumnId="8"/>
      <queryTableField id="3" name="CounterpartyCode" tableColumnId="9"/>
      <queryTableField id="4" name="Counterparty" tableColumnId="10"/>
      <queryTableField id="5" name="CCY" tableColumnId="11"/>
      <queryTableField id="6" name="Amount" tableColumnId="12"/>
    </queryTableFields>
  </queryTableRefresh>
</queryTable>
</file>

<file path=xl/queryTables/queryTable4.xml><?xml version="1.0" encoding="utf-8"?>
<queryTable xmlns="http://schemas.openxmlformats.org/spreadsheetml/2006/main" name="ExternalData_4" backgroundRefresh="0" connectionId="14" autoFormatId="20" applyNumberFormats="0" applyBorderFormats="0" applyFontFormats="1" applyPatternFormats="1" applyAlignmentFormats="0" applyWidthHeightFormats="0">
  <queryTableRefresh nextId="3">
    <queryTableFields count="2">
      <queryTableField id="1" name="CCY" tableColumnId="3"/>
      <queryTableField id="2" name="Rate" tableColumnId="4"/>
    </queryTableFields>
  </queryTableRefresh>
</queryTable>
</file>

<file path=xl/queryTables/queryTable5.xml><?xml version="1.0" encoding="utf-8"?>
<queryTable xmlns="http://schemas.openxmlformats.org/spreadsheetml/2006/main" name="資金取引_4" backgroundRefresh="0" fillFormulas="1" connectionId="13" autoFormatId="20" applyNumberFormats="0" applyBorderFormats="0" applyFontFormats="1" applyPatternFormats="1" applyAlignmentFormats="0" applyWidthHeightFormats="0">
  <queryTableRefresh nextId="11">
    <queryTableFields count="10">
      <queryTableField id="1" name="TradeCode"/>
      <queryTableField id="2" name="CounterpartyCode"/>
      <queryTableField id="3" name="ACCode"/>
      <queryTableField id="4" name="CCY"/>
      <queryTableField id="5" name="Amount"/>
      <queryTableField id="6" name="Maturity"/>
      <queryTableField id="7" name="FinalMaturity"/>
      <queryTableField id="8" name="DealRate"/>
      <queryTableField id="9" name="PoolRate"/>
      <queryTableField id="10" name="None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6" autoFormatId="20" applyNumberFormats="0" applyBorderFormats="0" applyFontFormats="1" applyPatternFormats="1" applyAlignmentFormats="0" applyWidthHeightFormats="0">
  <queryTableRefresh nextId="11">
    <queryTableFields count="10">
      <queryTableField id="1" name="TradeCode" tableColumnId="11"/>
      <queryTableField id="2" name="CounterpartyCode" tableColumnId="12"/>
      <queryTableField id="3" name="ACCode" tableColumnId="13"/>
      <queryTableField id="4" name="CCY" tableColumnId="14"/>
      <queryTableField id="5" name="Amount" tableColumnId="15"/>
      <queryTableField id="6" name="Maturity" tableColumnId="16"/>
      <queryTableField id="7" name="FinalMaturity" tableColumnId="17"/>
      <queryTableField id="8" name="DealRate" tableColumnId="18"/>
      <queryTableField id="9" name="PoolRate" tableColumnId="19"/>
      <queryTableField id="10" name="None" tableColumnId="20"/>
    </queryTableFields>
  </queryTableRefresh>
</queryTable>
</file>

<file path=xl/queryTables/queryTable7.xml><?xml version="1.0" encoding="utf-8"?>
<queryTable xmlns="http://schemas.openxmlformats.org/spreadsheetml/2006/main" name="資金取引_4" backgroundRefresh="0" fillFormulas="1" connectionId="15" autoFormatId="20" applyNumberFormats="0" applyBorderFormats="0" applyFontFormats="1" applyPatternFormats="1" applyAlignmentFormats="0" applyWidthHeightFormats="0">
  <queryTableRefresh nextId="11">
    <queryTableFields count="10">
      <queryTableField id="1" name="TradeCode"/>
      <queryTableField id="2" name="CounterpartyCode"/>
      <queryTableField id="3" name="ACCode"/>
      <queryTableField id="4" name="CCY"/>
      <queryTableField id="5" name="Amount"/>
      <queryTableField id="6" name="Maturity"/>
      <queryTableField id="7" name="FinalMaturity"/>
      <queryTableField id="8" name="DealRate"/>
      <queryTableField id="9" name="PoolRate"/>
      <queryTableField id="10" name="None"/>
    </queryTableFields>
  </queryTableRefresh>
</queryTable>
</file>

<file path=xl/queryTables/queryTable8.xml><?xml version="1.0" encoding="utf-8"?>
<queryTable xmlns="http://schemas.openxmlformats.org/spreadsheetml/2006/main" name="daily_s1.php?prec_no=44&amp;block_no=47662&amp;year=2015&amp;month=1&amp;day=&amp;view=_1" connectionId="6" autoFormatId="2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" backgroundRefresh="0" preserveFormatting="0" adjustColumnWidth="0" connectionId="11" autoFormatId="20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28" name="Tbl_MM" displayName="Tbl_MM" ref="A1:J21" tableType="queryTable" totalsRowShown="0">
  <autoFilter ref="A1:J21"/>
  <tableColumns count="10">
    <tableColumn id="11" uniqueName="11" name="TradeCode" queryTableFieldId="1"/>
    <tableColumn id="12" uniqueName="12" name="CounterpartyCode" queryTableFieldId="2"/>
    <tableColumn id="13" uniqueName="13" name="ACCode" queryTableFieldId="3"/>
    <tableColumn id="14" uniqueName="14" name="CCY" queryTableFieldId="4"/>
    <tableColumn id="15" uniqueName="15" name="Amount" queryTableFieldId="5"/>
    <tableColumn id="16" uniqueName="16" name="Maturity" queryTableFieldId="6"/>
    <tableColumn id="17" uniqueName="17" name="FinalMaturity" queryTableFieldId="7"/>
    <tableColumn id="18" uniqueName="18" name="DealRate" queryTableFieldId="8"/>
    <tableColumn id="19" uniqueName="19" name="PoolRate" queryTableFieldId="9"/>
    <tableColumn id="20" uniqueName="20" name="None" queryTableField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9" name="Tbl_FX" displayName="Tbl_FX" ref="A1:K9" tableType="queryTable" totalsRowShown="0">
  <autoFilter ref="A1:K9"/>
  <tableColumns count="11">
    <tableColumn id="12" uniqueName="12" name="TradeCode" queryTableFieldId="1"/>
    <tableColumn id="13" uniqueName="13" name="TradeDate" queryTableFieldId="2"/>
    <tableColumn id="14" uniqueName="14" name="SettlementDate" queryTableFieldId="3"/>
    <tableColumn id="15" uniqueName="15" name="DealRate" queryTableFieldId="4"/>
    <tableColumn id="16" uniqueName="16" name="CCY1" queryTableFieldId="5"/>
    <tableColumn id="17" uniqueName="17" name="Amount1" queryTableFieldId="6"/>
    <tableColumn id="18" uniqueName="18" name="CCY2" queryTableFieldId="7"/>
    <tableColumn id="19" uniqueName="19" name="Amount2" queryTableFieldId="8"/>
    <tableColumn id="20" uniqueName="20" name="ClientCode" queryTableFieldId="9"/>
    <tableColumn id="21" uniqueName="21" name="TradeType" queryTableFieldId="10"/>
    <tableColumn id="22" uniqueName="22" name="NA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0" name="Tbl_BS" displayName="Tbl_BS" ref="A1:F26" tableType="queryTable" totalsRowShown="0">
  <autoFilter ref="A1:F26"/>
  <tableColumns count="6">
    <tableColumn id="7" uniqueName="7" name="ACCode" queryTableFieldId="1"/>
    <tableColumn id="8" uniqueName="8" name="ACName" queryTableFieldId="2"/>
    <tableColumn id="9" uniqueName="9" name="CounterpartyCode" queryTableFieldId="3"/>
    <tableColumn id="10" uniqueName="10" name="Counterparty" queryTableFieldId="4"/>
    <tableColumn id="11" uniqueName="11" name="CCY" queryTableFieldId="5"/>
    <tableColumn id="12" uniqueName="12" name="Amount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1" name="Tbl_CCY" displayName="Tbl_CCY_1" ref="A1:B4" tableType="queryTable" totalsRowShown="0">
  <autoFilter ref="A1:B4"/>
  <tableColumns count="2">
    <tableColumn id="3" uniqueName="3" name="CCY" queryTableFieldId="1"/>
    <tableColumn id="4" uniqueName="4" name="Rate" queryTableField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資金取引(円)" displayName="資金取引_円" ref="B2:K12" tableType="queryTable" totalsRowShown="0">
  <autoFilter ref="B2:K12"/>
  <tableColumns count="10">
    <tableColumn id="11" uniqueName="11" name="TradeCode" queryTableFieldId="1"/>
    <tableColumn id="12" uniqueName="12" name="CounterpartyCode" queryTableFieldId="2"/>
    <tableColumn id="13" uniqueName="13" name="ACCode" queryTableFieldId="3"/>
    <tableColumn id="14" uniqueName="14" name="CCY" queryTableFieldId="4"/>
    <tableColumn id="15" uniqueName="15" name="Amount" queryTableFieldId="5"/>
    <tableColumn id="16" uniqueName="16" name="Maturity" queryTableFieldId="6"/>
    <tableColumn id="17" uniqueName="17" name="FinalMaturity" queryTableFieldId="7"/>
    <tableColumn id="18" uniqueName="18" name="DealRate" queryTableFieldId="8"/>
    <tableColumn id="19" uniqueName="19" name="PoolRate" queryTableFieldId="9"/>
    <tableColumn id="20" uniqueName="20" name="None" queryTableField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http://www.data.jma.go.jp/obd/stats/etrn/view/daily_s1.php?prec_no=44&amp;block_no=47662&amp;year=2015&amp;month=02&amp;day=&amp;view=a3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data.jma.go.jp/obd/stats/etrn/view/daily_s1.php?prec_no=44&amp;block_no=47662&amp;year=2015&amp;month=02&amp;day=&amp;view=a2" TargetMode="External"/><Relationship Id="rId1" Type="http://schemas.openxmlformats.org/officeDocument/2006/relationships/hyperlink" Target="http://www.data.jma.go.jp/obd/stats/etrn/view/daily_s1.php?prec_no=44&amp;block_no=47662&amp;year=2015&amp;month=02&amp;day=&amp;view=a1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7.bin"/><Relationship Id="rId10" Type="http://schemas.openxmlformats.org/officeDocument/2006/relationships/queryTable" Target="../queryTables/queryTable9.xml"/><Relationship Id="rId4" Type="http://schemas.openxmlformats.org/officeDocument/2006/relationships/hyperlink" Target="http://www.data.jma.go.jp/obd/stats/etrn/view/daily_s1.php?prec_no=44&amp;block_no=47662&amp;year=2015&amp;month=02&amp;day=&amp;view=a4" TargetMode="External"/><Relationship Id="rId9" Type="http://schemas.openxmlformats.org/officeDocument/2006/relationships/image" Target="../media/image7.emf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6"/>
  <sheetViews>
    <sheetView tabSelected="1" workbookViewId="0">
      <selection activeCell="A22" sqref="A22"/>
    </sheetView>
  </sheetViews>
  <sheetFormatPr defaultRowHeight="13.2"/>
  <cols>
    <col min="1" max="1" width="16.6640625" customWidth="1"/>
    <col min="2" max="2" width="16.21875" customWidth="1"/>
    <col min="3" max="3" width="36.33203125" bestFit="1" customWidth="1"/>
    <col min="4" max="4" width="14.33203125" customWidth="1"/>
    <col min="5" max="5" width="14.21875" bestFit="1" customWidth="1"/>
  </cols>
  <sheetData>
    <row r="1" spans="1:5">
      <c r="A1" s="1" t="s">
        <v>10</v>
      </c>
      <c r="B1" s="15">
        <v>42460</v>
      </c>
    </row>
    <row r="2" spans="1:5">
      <c r="A2" s="1" t="s">
        <v>11</v>
      </c>
      <c r="B2" s="12">
        <f>WORKDAY(BaseDate,1,Holiday!$A$2:$A$100)</f>
        <v>42461</v>
      </c>
    </row>
    <row r="3" spans="1:5">
      <c r="A3" s="1" t="s">
        <v>12</v>
      </c>
      <c r="B3" s="12">
        <f>WORKDAY(BaseDate,2,Holiday!$A$2:$A$100)</f>
        <v>42464</v>
      </c>
    </row>
    <row r="4" spans="1:5">
      <c r="A4" s="1" t="s">
        <v>13</v>
      </c>
      <c r="B4" s="12">
        <f>WORKDAY(BaseDate,-1,Holiday!$A$2:$A$100)</f>
        <v>42459</v>
      </c>
    </row>
    <row r="8" spans="1:5">
      <c r="A8" s="2" t="s">
        <v>191</v>
      </c>
      <c r="B8" s="1"/>
      <c r="C8" s="1" t="s">
        <v>2</v>
      </c>
      <c r="D8" s="1" t="s">
        <v>193</v>
      </c>
      <c r="E8" s="1" t="s">
        <v>192</v>
      </c>
    </row>
    <row r="9" spans="1:5">
      <c r="A9" s="2">
        <v>1</v>
      </c>
      <c r="B9" s="1" t="s">
        <v>0</v>
      </c>
      <c r="C9" s="1" t="s">
        <v>14</v>
      </c>
      <c r="D9" s="1" t="s">
        <v>139</v>
      </c>
      <c r="E9" s="1" t="s">
        <v>16</v>
      </c>
    </row>
    <row r="10" spans="1:5">
      <c r="A10" s="2">
        <v>2</v>
      </c>
      <c r="B10" s="1" t="s">
        <v>137</v>
      </c>
      <c r="C10" s="1" t="s">
        <v>138</v>
      </c>
      <c r="D10" s="1" t="s">
        <v>153</v>
      </c>
      <c r="E10" s="1"/>
    </row>
    <row r="11" spans="1:5">
      <c r="A11" s="2">
        <v>3</v>
      </c>
      <c r="B11" s="1" t="s">
        <v>190</v>
      </c>
      <c r="C11" s="1" t="s">
        <v>15</v>
      </c>
      <c r="D11" s="1" t="s">
        <v>140</v>
      </c>
      <c r="E11" s="1"/>
    </row>
    <row r="12" spans="1:5">
      <c r="A12" s="2">
        <v>4</v>
      </c>
      <c r="B12" s="1" t="s">
        <v>189</v>
      </c>
      <c r="C12" s="1" t="s">
        <v>15</v>
      </c>
      <c r="D12" s="1" t="s">
        <v>188</v>
      </c>
      <c r="E12" s="1" t="s">
        <v>194</v>
      </c>
    </row>
    <row r="14" spans="1:5" s="16" customFormat="1"/>
    <row r="15" spans="1:5">
      <c r="A15" s="2" t="s">
        <v>1</v>
      </c>
      <c r="B15" s="1" t="s">
        <v>5</v>
      </c>
      <c r="C15" s="1" t="s">
        <v>2</v>
      </c>
      <c r="D15" s="1" t="s">
        <v>3</v>
      </c>
      <c r="E15" s="1" t="s">
        <v>4</v>
      </c>
    </row>
    <row r="16" spans="1:5">
      <c r="A16" s="2">
        <v>1</v>
      </c>
      <c r="B16" s="1" t="s">
        <v>6</v>
      </c>
      <c r="C16" s="1" t="s">
        <v>22</v>
      </c>
      <c r="D16" s="1" t="s">
        <v>17</v>
      </c>
      <c r="E16" s="1" t="s">
        <v>17</v>
      </c>
    </row>
    <row r="17" spans="1:5">
      <c r="A17" s="2">
        <v>2</v>
      </c>
      <c r="B17" s="1" t="s">
        <v>7</v>
      </c>
      <c r="C17" s="1" t="s">
        <v>22</v>
      </c>
      <c r="D17" s="1" t="s">
        <v>18</v>
      </c>
      <c r="E17" s="1" t="s">
        <v>18</v>
      </c>
    </row>
    <row r="18" spans="1:5">
      <c r="A18" s="2">
        <v>3</v>
      </c>
      <c r="B18" s="1" t="s">
        <v>8</v>
      </c>
      <c r="C18" s="1" t="s">
        <v>22</v>
      </c>
      <c r="D18" s="1" t="s">
        <v>19</v>
      </c>
      <c r="E18" s="1" t="s">
        <v>19</v>
      </c>
    </row>
    <row r="19" spans="1:5">
      <c r="A19" s="2">
        <v>4</v>
      </c>
      <c r="B19" s="1" t="s">
        <v>9</v>
      </c>
      <c r="C19" s="1" t="s">
        <v>22</v>
      </c>
      <c r="D19" s="1" t="s">
        <v>20</v>
      </c>
      <c r="E19" s="1" t="s">
        <v>21</v>
      </c>
    </row>
    <row r="22" spans="1:5">
      <c r="A22" s="2" t="s">
        <v>191</v>
      </c>
      <c r="B22" s="1"/>
      <c r="C22" s="1" t="s">
        <v>2</v>
      </c>
      <c r="D22" s="1" t="s">
        <v>193</v>
      </c>
      <c r="E22" s="1" t="s">
        <v>192</v>
      </c>
    </row>
    <row r="23" spans="1:5">
      <c r="A23" s="2">
        <v>1</v>
      </c>
      <c r="B23" s="1" t="s">
        <v>0</v>
      </c>
      <c r="C23" s="1" t="s">
        <v>14</v>
      </c>
      <c r="D23" s="1" t="s">
        <v>139</v>
      </c>
      <c r="E23" s="1" t="s">
        <v>16</v>
      </c>
    </row>
    <row r="24" spans="1:5">
      <c r="A24" s="2">
        <v>2</v>
      </c>
      <c r="B24" s="1" t="s">
        <v>281</v>
      </c>
      <c r="C24" s="1" t="s">
        <v>283</v>
      </c>
      <c r="D24" s="1" t="s">
        <v>285</v>
      </c>
      <c r="E24" s="1" t="s">
        <v>289</v>
      </c>
    </row>
    <row r="25" spans="1:5">
      <c r="A25" s="2">
        <v>3</v>
      </c>
      <c r="B25" s="1" t="s">
        <v>282</v>
      </c>
      <c r="C25" s="1" t="s">
        <v>284</v>
      </c>
      <c r="D25" s="1" t="s">
        <v>286</v>
      </c>
      <c r="E25" s="1" t="s">
        <v>290</v>
      </c>
    </row>
    <row r="26" spans="1:5">
      <c r="A26" s="2">
        <v>4</v>
      </c>
      <c r="B26" s="1" t="s">
        <v>189</v>
      </c>
      <c r="C26" s="1" t="s">
        <v>291</v>
      </c>
      <c r="D26" s="1" t="s">
        <v>287</v>
      </c>
      <c r="E26" s="1" t="s">
        <v>288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5">
          <controlPr defaultSize="0" autoLine="0" r:id="rId5">
            <anchor moveWithCells="1">
              <from>
                <xdr:col>6</xdr:col>
                <xdr:colOff>0</xdr:colOff>
                <xdr:row>9</xdr:row>
                <xdr:rowOff>160020</xdr:rowOff>
              </from>
              <to>
                <xdr:col>8</xdr:col>
                <xdr:colOff>160020</xdr:colOff>
                <xdr:row>12</xdr:row>
                <xdr:rowOff>0</xdr:rowOff>
              </to>
            </anchor>
          </controlPr>
        </control>
      </mc:Choice>
      <mc:Fallback>
        <control shapeId="1034" r:id="rId4" name="CommandButton5"/>
      </mc:Fallback>
    </mc:AlternateContent>
    <mc:AlternateContent xmlns:mc="http://schemas.openxmlformats.org/markup-compatibility/2006">
      <mc:Choice Requires="x14">
        <control shapeId="1033" r:id="rId6" name="CommandButton4">
          <controlPr defaultSize="0" autoLine="0" r:id="rId7">
            <anchor moveWithCells="1">
              <from>
                <xdr:col>6</xdr:col>
                <xdr:colOff>7620</xdr:colOff>
                <xdr:row>7</xdr:row>
                <xdr:rowOff>0</xdr:rowOff>
              </from>
              <to>
                <xdr:col>8</xdr:col>
                <xdr:colOff>160020</xdr:colOff>
                <xdr:row>9</xdr:row>
                <xdr:rowOff>0</xdr:rowOff>
              </to>
            </anchor>
          </controlPr>
        </control>
      </mc:Choice>
      <mc:Fallback>
        <control shapeId="1033" r:id="rId6" name="CommandButton4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160020</xdr:colOff>
                <xdr:row>3</xdr:row>
                <xdr:rowOff>15240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0" r:id="rId10" name="CommandButton2">
          <controlPr defaultSize="0" autoLine="0" r:id="rId11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160020</xdr:colOff>
                <xdr:row>3</xdr:row>
                <xdr:rowOff>7620</xdr:rowOff>
              </to>
            </anchor>
          </controlPr>
        </control>
      </mc:Choice>
      <mc:Fallback>
        <control shapeId="1030" r:id="rId10" name="CommandButton2"/>
      </mc:Fallback>
    </mc:AlternateContent>
    <mc:AlternateContent xmlns:mc="http://schemas.openxmlformats.org/markup-compatibility/2006">
      <mc:Choice Requires="x14">
        <control shapeId="1032" r:id="rId12" name="CommandButton3">
          <controlPr defaultSize="0" autoLine="0" r:id="rId13">
            <anchor moveWithCells="1">
              <from>
                <xdr:col>6</xdr:col>
                <xdr:colOff>22860</xdr:colOff>
                <xdr:row>3</xdr:row>
                <xdr:rowOff>160020</xdr:rowOff>
              </from>
              <to>
                <xdr:col>8</xdr:col>
                <xdr:colOff>175260</xdr:colOff>
                <xdr:row>6</xdr:row>
                <xdr:rowOff>7620</xdr:rowOff>
              </to>
            </anchor>
          </controlPr>
        </control>
      </mc:Choice>
      <mc:Fallback>
        <control shapeId="1032" r:id="rId12" name="CommandButton3"/>
      </mc:Fallback>
    </mc:AlternateContent>
    <mc:AlternateContent xmlns:mc="http://schemas.openxmlformats.org/markup-compatibility/2006">
      <mc:Choice Requires="x14">
        <control shapeId="1035" r:id="rId14" name="btnDataTrans">
          <controlPr defaultSize="0" autoLine="0" r:id="rId15">
            <anchor moveWithCells="1">
              <from>
                <xdr:col>6</xdr:col>
                <xdr:colOff>7620</xdr:colOff>
                <xdr:row>21</xdr:row>
                <xdr:rowOff>0</xdr:rowOff>
              </from>
              <to>
                <xdr:col>7</xdr:col>
                <xdr:colOff>601980</xdr:colOff>
                <xdr:row>23</xdr:row>
                <xdr:rowOff>7620</xdr:rowOff>
              </to>
            </anchor>
          </controlPr>
        </control>
      </mc:Choice>
      <mc:Fallback>
        <control shapeId="1035" r:id="rId14" name="btnDataTran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"/>
  <sheetViews>
    <sheetView workbookViewId="0">
      <selection activeCell="I33" sqref="I33"/>
    </sheetView>
  </sheetViews>
  <sheetFormatPr defaultRowHeight="13.2"/>
  <cols>
    <col min="1" max="1" width="11.77734375" customWidth="1"/>
    <col min="2" max="2" width="12.88671875" customWidth="1"/>
    <col min="3" max="3" width="11.77734375" customWidth="1"/>
    <col min="4" max="4" width="13.21875" customWidth="1"/>
    <col min="5" max="5" width="12.109375" customWidth="1"/>
    <col min="6" max="6" width="11.6640625" bestFit="1" customWidth="1"/>
  </cols>
  <sheetData>
    <row r="1" spans="1:6" s="22" customFormat="1">
      <c r="A1" s="23">
        <v>1</v>
      </c>
      <c r="B1" s="24"/>
      <c r="C1" s="23">
        <v>2</v>
      </c>
      <c r="D1" s="24"/>
      <c r="E1" s="23">
        <v>3</v>
      </c>
      <c r="F1" s="24"/>
    </row>
    <row r="2" spans="1:6">
      <c r="A2" s="13">
        <v>1</v>
      </c>
      <c r="B2" s="12">
        <f t="shared" ref="B2:B11" si="0">EDATE(BaseDate,12*A2)</f>
        <v>42825</v>
      </c>
      <c r="C2" s="14">
        <f>1/4</f>
        <v>0.25</v>
      </c>
      <c r="D2" s="12">
        <f t="shared" ref="D2:D9" si="1">EDATE(BaseDate,12*C2)</f>
        <v>42551</v>
      </c>
      <c r="E2" s="19" t="s">
        <v>144</v>
      </c>
      <c r="F2" s="12">
        <f>WORKDAY(BaseDate,1,Holiday!A$2:A$22)</f>
        <v>42461</v>
      </c>
    </row>
    <row r="3" spans="1:6">
      <c r="A3" s="13">
        <v>2</v>
      </c>
      <c r="B3" s="12">
        <f t="shared" si="0"/>
        <v>43190</v>
      </c>
      <c r="C3" s="14">
        <f>1/2</f>
        <v>0.5</v>
      </c>
      <c r="D3" s="12">
        <f t="shared" si="1"/>
        <v>42643</v>
      </c>
      <c r="E3" s="19" t="s">
        <v>146</v>
      </c>
      <c r="F3" s="12">
        <f>WORKDAY(BaseDate,2,Holiday!A$2:A$22)</f>
        <v>42464</v>
      </c>
    </row>
    <row r="4" spans="1:6">
      <c r="A4" s="13">
        <v>3</v>
      </c>
      <c r="B4" s="12">
        <f t="shared" si="0"/>
        <v>43555</v>
      </c>
      <c r="C4" s="14">
        <f>3/4</f>
        <v>0.75</v>
      </c>
      <c r="D4" s="12">
        <f t="shared" si="1"/>
        <v>42735</v>
      </c>
      <c r="E4" s="19" t="s">
        <v>147</v>
      </c>
      <c r="F4" s="12">
        <f>WORKDAY(BaseDate,3,Holiday!A$2:A$22)</f>
        <v>42465</v>
      </c>
    </row>
    <row r="5" spans="1:6">
      <c r="A5" s="13">
        <v>4</v>
      </c>
      <c r="B5" s="12">
        <f t="shared" si="0"/>
        <v>43921</v>
      </c>
      <c r="C5" s="13">
        <v>1</v>
      </c>
      <c r="D5" s="12">
        <f t="shared" si="1"/>
        <v>42825</v>
      </c>
      <c r="E5" s="19" t="s">
        <v>145</v>
      </c>
      <c r="F5" s="12">
        <f>WORKDAY(BaseDate,4,Holiday!A$2:A$22)</f>
        <v>42466</v>
      </c>
    </row>
    <row r="6" spans="1:6">
      <c r="A6" s="13">
        <v>5</v>
      </c>
      <c r="B6" s="12">
        <f t="shared" si="0"/>
        <v>44286</v>
      </c>
      <c r="C6" s="13">
        <v>3</v>
      </c>
      <c r="D6" s="12">
        <f t="shared" si="1"/>
        <v>43555</v>
      </c>
      <c r="E6" s="19" t="s">
        <v>148</v>
      </c>
      <c r="F6" s="12">
        <f>WORKDAY(BaseDate,5,Holiday!A$2:A$22)</f>
        <v>42467</v>
      </c>
    </row>
    <row r="7" spans="1:6">
      <c r="A7" s="13">
        <v>6</v>
      </c>
      <c r="B7" s="12">
        <f t="shared" si="0"/>
        <v>44651</v>
      </c>
      <c r="C7" s="13">
        <v>5</v>
      </c>
      <c r="D7" s="12">
        <f t="shared" si="1"/>
        <v>44286</v>
      </c>
      <c r="E7" s="20" t="s">
        <v>150</v>
      </c>
      <c r="F7" s="12">
        <f>WORKDAY(BaseDate,10,Holiday!A$2:A$22)</f>
        <v>42474</v>
      </c>
    </row>
    <row r="8" spans="1:6">
      <c r="A8" s="13">
        <v>7</v>
      </c>
      <c r="B8" s="12">
        <f t="shared" si="0"/>
        <v>45016</v>
      </c>
      <c r="C8" s="13">
        <v>7</v>
      </c>
      <c r="D8" s="12">
        <f t="shared" si="1"/>
        <v>45016</v>
      </c>
      <c r="E8" s="20" t="s">
        <v>149</v>
      </c>
      <c r="F8" s="12">
        <f>EDATE(BaseDate,(1/12)*12)</f>
        <v>42490</v>
      </c>
    </row>
    <row r="9" spans="1:6">
      <c r="A9" s="13">
        <v>8</v>
      </c>
      <c r="B9" s="12">
        <f t="shared" si="0"/>
        <v>45382</v>
      </c>
      <c r="C9" s="13">
        <v>10</v>
      </c>
      <c r="D9" s="12">
        <f t="shared" si="1"/>
        <v>46112</v>
      </c>
      <c r="E9" s="14">
        <f>1/4</f>
        <v>0.25</v>
      </c>
      <c r="F9" s="12">
        <f t="shared" ref="F9:F20" si="2">EDATE(BaseDate,12*E9)</f>
        <v>42551</v>
      </c>
    </row>
    <row r="10" spans="1:6">
      <c r="A10" s="13">
        <v>9</v>
      </c>
      <c r="B10" s="12">
        <f t="shared" si="0"/>
        <v>45747</v>
      </c>
      <c r="E10" s="14">
        <f>1/2</f>
        <v>0.5</v>
      </c>
      <c r="F10" s="12">
        <f t="shared" si="2"/>
        <v>42643</v>
      </c>
    </row>
    <row r="11" spans="1:6">
      <c r="A11" s="13">
        <v>10</v>
      </c>
      <c r="B11" s="12">
        <f t="shared" si="0"/>
        <v>46112</v>
      </c>
      <c r="E11" s="14">
        <f>3/4</f>
        <v>0.75</v>
      </c>
      <c r="F11" s="12">
        <f t="shared" si="2"/>
        <v>42735</v>
      </c>
    </row>
    <row r="12" spans="1:6">
      <c r="E12" s="13">
        <v>1</v>
      </c>
      <c r="F12" s="12">
        <f t="shared" si="2"/>
        <v>42825</v>
      </c>
    </row>
    <row r="13" spans="1:6">
      <c r="E13" s="13">
        <v>3</v>
      </c>
      <c r="F13" s="12">
        <f t="shared" si="2"/>
        <v>43555</v>
      </c>
    </row>
    <row r="14" spans="1:6">
      <c r="E14" s="13">
        <v>5</v>
      </c>
      <c r="F14" s="12">
        <f t="shared" si="2"/>
        <v>44286</v>
      </c>
    </row>
    <row r="15" spans="1:6">
      <c r="E15" s="13">
        <v>7</v>
      </c>
      <c r="F15" s="12">
        <f t="shared" si="2"/>
        <v>45016</v>
      </c>
    </row>
    <row r="16" spans="1:6">
      <c r="E16" s="13">
        <v>10</v>
      </c>
      <c r="F16" s="12">
        <f t="shared" si="2"/>
        <v>46112</v>
      </c>
    </row>
    <row r="17" spans="5:6">
      <c r="E17" s="13">
        <v>20</v>
      </c>
      <c r="F17" s="12">
        <f t="shared" si="2"/>
        <v>49765</v>
      </c>
    </row>
    <row r="18" spans="5:6">
      <c r="E18" s="13">
        <v>25</v>
      </c>
      <c r="F18" s="12">
        <f t="shared" si="2"/>
        <v>51591</v>
      </c>
    </row>
    <row r="19" spans="5:6">
      <c r="E19" s="13">
        <v>30</v>
      </c>
      <c r="F19" s="12">
        <f t="shared" si="2"/>
        <v>53417</v>
      </c>
    </row>
    <row r="20" spans="5:6">
      <c r="E20" s="13">
        <v>40</v>
      </c>
      <c r="F20" s="12">
        <f t="shared" si="2"/>
        <v>57070</v>
      </c>
    </row>
  </sheetData>
  <phoneticPr fontId="1"/>
  <pageMargins left="0.7" right="0.7" top="0.75" bottom="0.75" header="0.3" footer="0.3"/>
  <pageSetup paperSize="9" orientation="portrait" horizontalDpi="4294967293" r:id="rId1"/>
  <ignoredErrors>
    <ignoredError sqref="E9 C2:C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6"/>
  </sheetPr>
  <dimension ref="A1:E22"/>
  <sheetViews>
    <sheetView workbookViewId="0"/>
  </sheetViews>
  <sheetFormatPr defaultRowHeight="13.8"/>
  <cols>
    <col min="1" max="3" width="12.109375" style="18" customWidth="1"/>
    <col min="4" max="5" width="12.109375" style="9" customWidth="1"/>
    <col min="6" max="256" width="9" style="9"/>
    <col min="257" max="257" width="16.109375" style="9" bestFit="1" customWidth="1"/>
    <col min="258" max="512" width="9" style="9"/>
    <col min="513" max="513" width="16.109375" style="9" bestFit="1" customWidth="1"/>
    <col min="514" max="768" width="9" style="9"/>
    <col min="769" max="769" width="16.109375" style="9" bestFit="1" customWidth="1"/>
    <col min="770" max="1024" width="9" style="9"/>
    <col min="1025" max="1025" width="16.109375" style="9" bestFit="1" customWidth="1"/>
    <col min="1026" max="1280" width="9" style="9"/>
    <col min="1281" max="1281" width="16.109375" style="9" bestFit="1" customWidth="1"/>
    <col min="1282" max="1536" width="9" style="9"/>
    <col min="1537" max="1537" width="16.109375" style="9" bestFit="1" customWidth="1"/>
    <col min="1538" max="1792" width="9" style="9"/>
    <col min="1793" max="1793" width="16.109375" style="9" bestFit="1" customWidth="1"/>
    <col min="1794" max="2048" width="9" style="9"/>
    <col min="2049" max="2049" width="16.109375" style="9" bestFit="1" customWidth="1"/>
    <col min="2050" max="2304" width="9" style="9"/>
    <col min="2305" max="2305" width="16.109375" style="9" bestFit="1" customWidth="1"/>
    <col min="2306" max="2560" width="9" style="9"/>
    <col min="2561" max="2561" width="16.109375" style="9" bestFit="1" customWidth="1"/>
    <col min="2562" max="2816" width="9" style="9"/>
    <col min="2817" max="2817" width="16.109375" style="9" bestFit="1" customWidth="1"/>
    <col min="2818" max="3072" width="9" style="9"/>
    <col min="3073" max="3073" width="16.109375" style="9" bestFit="1" customWidth="1"/>
    <col min="3074" max="3328" width="9" style="9"/>
    <col min="3329" max="3329" width="16.109375" style="9" bestFit="1" customWidth="1"/>
    <col min="3330" max="3584" width="9" style="9"/>
    <col min="3585" max="3585" width="16.109375" style="9" bestFit="1" customWidth="1"/>
    <col min="3586" max="3840" width="9" style="9"/>
    <col min="3841" max="3841" width="16.109375" style="9" bestFit="1" customWidth="1"/>
    <col min="3842" max="4096" width="9" style="9"/>
    <col min="4097" max="4097" width="16.109375" style="9" bestFit="1" customWidth="1"/>
    <col min="4098" max="4352" width="9" style="9"/>
    <col min="4353" max="4353" width="16.109375" style="9" bestFit="1" customWidth="1"/>
    <col min="4354" max="4608" width="9" style="9"/>
    <col min="4609" max="4609" width="16.109375" style="9" bestFit="1" customWidth="1"/>
    <col min="4610" max="4864" width="9" style="9"/>
    <col min="4865" max="4865" width="16.109375" style="9" bestFit="1" customWidth="1"/>
    <col min="4866" max="5120" width="9" style="9"/>
    <col min="5121" max="5121" width="16.109375" style="9" bestFit="1" customWidth="1"/>
    <col min="5122" max="5376" width="9" style="9"/>
    <col min="5377" max="5377" width="16.109375" style="9" bestFit="1" customWidth="1"/>
    <col min="5378" max="5632" width="9" style="9"/>
    <col min="5633" max="5633" width="16.109375" style="9" bestFit="1" customWidth="1"/>
    <col min="5634" max="5888" width="9" style="9"/>
    <col min="5889" max="5889" width="16.109375" style="9" bestFit="1" customWidth="1"/>
    <col min="5890" max="6144" width="9" style="9"/>
    <col min="6145" max="6145" width="16.109375" style="9" bestFit="1" customWidth="1"/>
    <col min="6146" max="6400" width="9" style="9"/>
    <col min="6401" max="6401" width="16.109375" style="9" bestFit="1" customWidth="1"/>
    <col min="6402" max="6656" width="9" style="9"/>
    <col min="6657" max="6657" width="16.109375" style="9" bestFit="1" customWidth="1"/>
    <col min="6658" max="6912" width="9" style="9"/>
    <col min="6913" max="6913" width="16.109375" style="9" bestFit="1" customWidth="1"/>
    <col min="6914" max="7168" width="9" style="9"/>
    <col min="7169" max="7169" width="16.109375" style="9" bestFit="1" customWidth="1"/>
    <col min="7170" max="7424" width="9" style="9"/>
    <col min="7425" max="7425" width="16.109375" style="9" bestFit="1" customWidth="1"/>
    <col min="7426" max="7680" width="9" style="9"/>
    <col min="7681" max="7681" width="16.109375" style="9" bestFit="1" customWidth="1"/>
    <col min="7682" max="7936" width="9" style="9"/>
    <col min="7937" max="7937" width="16.109375" style="9" bestFit="1" customWidth="1"/>
    <col min="7938" max="8192" width="9" style="9"/>
    <col min="8193" max="8193" width="16.109375" style="9" bestFit="1" customWidth="1"/>
    <col min="8194" max="8448" width="9" style="9"/>
    <col min="8449" max="8449" width="16.109375" style="9" bestFit="1" customWidth="1"/>
    <col min="8450" max="8704" width="9" style="9"/>
    <col min="8705" max="8705" width="16.109375" style="9" bestFit="1" customWidth="1"/>
    <col min="8706" max="8960" width="9" style="9"/>
    <col min="8961" max="8961" width="16.109375" style="9" bestFit="1" customWidth="1"/>
    <col min="8962" max="9216" width="9" style="9"/>
    <col min="9217" max="9217" width="16.109375" style="9" bestFit="1" customWidth="1"/>
    <col min="9218" max="9472" width="9" style="9"/>
    <col min="9473" max="9473" width="16.109375" style="9" bestFit="1" customWidth="1"/>
    <col min="9474" max="9728" width="9" style="9"/>
    <col min="9729" max="9729" width="16.109375" style="9" bestFit="1" customWidth="1"/>
    <col min="9730" max="9984" width="9" style="9"/>
    <col min="9985" max="9985" width="16.109375" style="9" bestFit="1" customWidth="1"/>
    <col min="9986" max="10240" width="9" style="9"/>
    <col min="10241" max="10241" width="16.109375" style="9" bestFit="1" customWidth="1"/>
    <col min="10242" max="10496" width="9" style="9"/>
    <col min="10497" max="10497" width="16.109375" style="9" bestFit="1" customWidth="1"/>
    <col min="10498" max="10752" width="9" style="9"/>
    <col min="10753" max="10753" width="16.109375" style="9" bestFit="1" customWidth="1"/>
    <col min="10754" max="11008" width="9" style="9"/>
    <col min="11009" max="11009" width="16.109375" style="9" bestFit="1" customWidth="1"/>
    <col min="11010" max="11264" width="9" style="9"/>
    <col min="11265" max="11265" width="16.109375" style="9" bestFit="1" customWidth="1"/>
    <col min="11266" max="11520" width="9" style="9"/>
    <col min="11521" max="11521" width="16.109375" style="9" bestFit="1" customWidth="1"/>
    <col min="11522" max="11776" width="9" style="9"/>
    <col min="11777" max="11777" width="16.109375" style="9" bestFit="1" customWidth="1"/>
    <col min="11778" max="12032" width="9" style="9"/>
    <col min="12033" max="12033" width="16.109375" style="9" bestFit="1" customWidth="1"/>
    <col min="12034" max="12288" width="9" style="9"/>
    <col min="12289" max="12289" width="16.109375" style="9" bestFit="1" customWidth="1"/>
    <col min="12290" max="12544" width="9" style="9"/>
    <col min="12545" max="12545" width="16.109375" style="9" bestFit="1" customWidth="1"/>
    <col min="12546" max="12800" width="9" style="9"/>
    <col min="12801" max="12801" width="16.109375" style="9" bestFit="1" customWidth="1"/>
    <col min="12802" max="13056" width="9" style="9"/>
    <col min="13057" max="13057" width="16.109375" style="9" bestFit="1" customWidth="1"/>
    <col min="13058" max="13312" width="9" style="9"/>
    <col min="13313" max="13313" width="16.109375" style="9" bestFit="1" customWidth="1"/>
    <col min="13314" max="13568" width="9" style="9"/>
    <col min="13569" max="13569" width="16.109375" style="9" bestFit="1" customWidth="1"/>
    <col min="13570" max="13824" width="9" style="9"/>
    <col min="13825" max="13825" width="16.109375" style="9" bestFit="1" customWidth="1"/>
    <col min="13826" max="14080" width="9" style="9"/>
    <col min="14081" max="14081" width="16.109375" style="9" bestFit="1" customWidth="1"/>
    <col min="14082" max="14336" width="9" style="9"/>
    <col min="14337" max="14337" width="16.109375" style="9" bestFit="1" customWidth="1"/>
    <col min="14338" max="14592" width="9" style="9"/>
    <col min="14593" max="14593" width="16.109375" style="9" bestFit="1" customWidth="1"/>
    <col min="14594" max="14848" width="9" style="9"/>
    <col min="14849" max="14849" width="16.109375" style="9" bestFit="1" customWidth="1"/>
    <col min="14850" max="15104" width="9" style="9"/>
    <col min="15105" max="15105" width="16.109375" style="9" bestFit="1" customWidth="1"/>
    <col min="15106" max="15360" width="9" style="9"/>
    <col min="15361" max="15361" width="16.109375" style="9" bestFit="1" customWidth="1"/>
    <col min="15362" max="15616" width="9" style="9"/>
    <col min="15617" max="15617" width="16.109375" style="9" bestFit="1" customWidth="1"/>
    <col min="15618" max="15872" width="9" style="9"/>
    <col min="15873" max="15873" width="16.109375" style="9" bestFit="1" customWidth="1"/>
    <col min="15874" max="16128" width="9" style="9"/>
    <col min="16129" max="16129" width="16.109375" style="9" bestFit="1" customWidth="1"/>
    <col min="16130" max="16384" width="9" style="9"/>
  </cols>
  <sheetData>
    <row r="1" spans="1:5">
      <c r="A1" s="17" t="s">
        <v>141</v>
      </c>
      <c r="B1" s="17" t="s">
        <v>142</v>
      </c>
      <c r="C1" s="17" t="s">
        <v>143</v>
      </c>
      <c r="D1" s="17" t="s">
        <v>151</v>
      </c>
      <c r="E1" s="17" t="s">
        <v>152</v>
      </c>
    </row>
    <row r="2" spans="1:5">
      <c r="A2" s="18">
        <v>42370</v>
      </c>
    </row>
    <row r="3" spans="1:5">
      <c r="A3" s="18">
        <v>42380</v>
      </c>
    </row>
    <row r="4" spans="1:5">
      <c r="A4" s="18">
        <v>42411</v>
      </c>
    </row>
    <row r="5" spans="1:5">
      <c r="A5" s="18">
        <v>42450</v>
      </c>
    </row>
    <row r="6" spans="1:5">
      <c r="A6" s="18">
        <v>42489</v>
      </c>
    </row>
    <row r="7" spans="1:5">
      <c r="A7" s="18">
        <v>42493</v>
      </c>
    </row>
    <row r="8" spans="1:5">
      <c r="A8" s="18">
        <v>42494</v>
      </c>
    </row>
    <row r="9" spans="1:5">
      <c r="A9" s="18">
        <v>42495</v>
      </c>
    </row>
    <row r="10" spans="1:5">
      <c r="A10" s="18">
        <v>42562</v>
      </c>
    </row>
    <row r="11" spans="1:5">
      <c r="A11" s="18">
        <v>42594</v>
      </c>
    </row>
    <row r="12" spans="1:5">
      <c r="A12" s="18">
        <v>42632</v>
      </c>
    </row>
    <row r="13" spans="1:5">
      <c r="A13" s="18">
        <v>42635</v>
      </c>
    </row>
    <row r="14" spans="1:5">
      <c r="A14" s="18">
        <v>42653</v>
      </c>
    </row>
    <row r="15" spans="1:5">
      <c r="A15" s="18">
        <v>42677</v>
      </c>
    </row>
    <row r="16" spans="1:5">
      <c r="A16" s="18">
        <v>42697</v>
      </c>
    </row>
    <row r="17" spans="1:1">
      <c r="A17" s="18">
        <v>42727</v>
      </c>
    </row>
    <row r="18" spans="1:1">
      <c r="A18" s="18">
        <v>42735</v>
      </c>
    </row>
    <row r="19" spans="1:1">
      <c r="A19" s="18">
        <v>42370</v>
      </c>
    </row>
    <row r="20" spans="1:1">
      <c r="A20" s="18">
        <v>42371</v>
      </c>
    </row>
    <row r="21" spans="1:1">
      <c r="A21" s="18">
        <v>42372</v>
      </c>
    </row>
    <row r="22" spans="1:1">
      <c r="A22" s="18">
        <v>42378</v>
      </c>
    </row>
  </sheetData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9"/>
  <sheetViews>
    <sheetView workbookViewId="0">
      <selection activeCell="F1" sqref="F1"/>
    </sheetView>
  </sheetViews>
  <sheetFormatPr defaultRowHeight="13.2"/>
  <cols>
    <col min="2" max="3" width="10.5546875" bestFit="1" customWidth="1"/>
    <col min="4" max="4" width="9" style="21"/>
    <col min="6" max="6" width="11.6640625" bestFit="1" customWidth="1"/>
    <col min="7" max="7" width="10.44140625" style="8" bestFit="1" customWidth="1"/>
    <col min="8" max="8" width="3.5546875" style="8" bestFit="1" customWidth="1"/>
    <col min="9" max="9" width="4.88671875" bestFit="1" customWidth="1"/>
    <col min="12" max="12" width="10.88671875" bestFit="1" customWidth="1"/>
    <col min="15" max="15" width="16.21875" style="3" bestFit="1" customWidth="1"/>
    <col min="16" max="16" width="14.21875" style="28" bestFit="1" customWidth="1"/>
    <col min="17" max="18" width="16.21875" bestFit="1" customWidth="1"/>
  </cols>
  <sheetData>
    <row r="1" spans="1:18">
      <c r="A1">
        <v>1</v>
      </c>
      <c r="B1">
        <v>2</v>
      </c>
      <c r="C1">
        <v>3</v>
      </c>
      <c r="D1">
        <v>4</v>
      </c>
      <c r="E1">
        <v>5</v>
      </c>
      <c r="F1" t="s">
        <v>272</v>
      </c>
      <c r="G1">
        <v>7</v>
      </c>
      <c r="H1">
        <v>8</v>
      </c>
      <c r="I1">
        <v>9</v>
      </c>
      <c r="K1" t="s">
        <v>225</v>
      </c>
      <c r="L1" t="s">
        <v>23</v>
      </c>
      <c r="M1" t="s">
        <v>25</v>
      </c>
      <c r="N1" t="s">
        <v>26</v>
      </c>
      <c r="O1" s="27" t="s">
        <v>203</v>
      </c>
      <c r="P1" s="28" t="s">
        <v>204</v>
      </c>
      <c r="Q1" s="27" t="s">
        <v>203</v>
      </c>
      <c r="R1" s="27" t="s">
        <v>203</v>
      </c>
    </row>
    <row r="2" spans="1:18">
      <c r="A2">
        <v>90001</v>
      </c>
      <c r="B2">
        <v>101</v>
      </c>
      <c r="C2" t="s">
        <v>33</v>
      </c>
      <c r="D2" s="21">
        <v>1000</v>
      </c>
      <c r="E2">
        <v>0.01</v>
      </c>
      <c r="F2" s="3">
        <v>42124</v>
      </c>
      <c r="G2" s="8" t="s">
        <v>195</v>
      </c>
      <c r="H2" s="8" t="s">
        <v>246</v>
      </c>
      <c r="I2" t="s">
        <v>229</v>
      </c>
      <c r="K2" t="s">
        <v>208</v>
      </c>
      <c r="L2">
        <v>90001</v>
      </c>
      <c r="M2">
        <v>101</v>
      </c>
      <c r="N2" t="s">
        <v>33</v>
      </c>
      <c r="O2" s="27">
        <f t="shared" ref="O2:O21" si="0">INDEX($A$2:$G$21,MATCH($L2,$A$2:$A$21,0),6)</f>
        <v>42124</v>
      </c>
      <c r="P2" s="29">
        <f t="shared" ref="P2:P21" si="1">INDEX($A$2:$G$21,MATCH($M2,$B$2:$B$21,0),1)</f>
        <v>90001</v>
      </c>
      <c r="Q2" s="29">
        <f>INDEX($A:I,MATCH($L2,$A:$A,0),4)</f>
        <v>1000</v>
      </c>
      <c r="R2" s="29" t="str">
        <f>INDEX($A:J,MATCH($L2,$A:$A,0),9)</f>
        <v>G20</v>
      </c>
    </row>
    <row r="3" spans="1:18">
      <c r="A3">
        <v>90002</v>
      </c>
      <c r="B3">
        <v>101</v>
      </c>
      <c r="C3" t="s">
        <v>33</v>
      </c>
      <c r="D3" s="21">
        <v>1000</v>
      </c>
      <c r="E3">
        <v>0.01</v>
      </c>
      <c r="F3" s="3">
        <v>42154</v>
      </c>
      <c r="G3" s="8" t="s">
        <v>196</v>
      </c>
      <c r="H3" s="8" t="s">
        <v>247</v>
      </c>
      <c r="I3" t="s">
        <v>230</v>
      </c>
      <c r="K3" t="s">
        <v>209</v>
      </c>
      <c r="L3">
        <v>90002</v>
      </c>
      <c r="M3">
        <v>101</v>
      </c>
      <c r="N3" t="s">
        <v>33</v>
      </c>
      <c r="O3" s="27">
        <f t="shared" si="0"/>
        <v>42154</v>
      </c>
      <c r="P3" s="29">
        <f t="shared" si="1"/>
        <v>90001</v>
      </c>
      <c r="Q3" s="29">
        <f>INDEX($A:I,MATCH($L3,$A:$A,0),4)</f>
        <v>1000</v>
      </c>
      <c r="R3" s="29" t="str">
        <f>INDEX($A:J,MATCH($L3,$A:$A,0),9)</f>
        <v>G19</v>
      </c>
    </row>
    <row r="4" spans="1:18">
      <c r="A4">
        <v>90003</v>
      </c>
      <c r="B4">
        <v>101</v>
      </c>
      <c r="C4" t="s">
        <v>33</v>
      </c>
      <c r="D4" s="21">
        <v>1000</v>
      </c>
      <c r="E4">
        <v>0.01</v>
      </c>
      <c r="F4" s="3">
        <v>42185</v>
      </c>
      <c r="G4" s="8" t="s">
        <v>195</v>
      </c>
      <c r="H4" s="8" t="s">
        <v>248</v>
      </c>
      <c r="I4" t="s">
        <v>231</v>
      </c>
      <c r="K4" t="s">
        <v>210</v>
      </c>
      <c r="L4">
        <v>90003</v>
      </c>
      <c r="M4">
        <v>101</v>
      </c>
      <c r="N4" t="s">
        <v>33</v>
      </c>
      <c r="O4" s="27">
        <f t="shared" si="0"/>
        <v>42185</v>
      </c>
      <c r="P4" s="29">
        <f t="shared" si="1"/>
        <v>90001</v>
      </c>
      <c r="Q4" s="29">
        <f>INDEX($A:I,MATCH($L4,$A:$A,0),4)</f>
        <v>1000</v>
      </c>
      <c r="R4" s="29" t="str">
        <f>INDEX($A:J,MATCH($L4,$A:$A,0),9)</f>
        <v>G18</v>
      </c>
    </row>
    <row r="5" spans="1:18">
      <c r="A5">
        <v>90004</v>
      </c>
      <c r="B5">
        <v>102</v>
      </c>
      <c r="C5" t="s">
        <v>33</v>
      </c>
      <c r="D5" s="21">
        <v>1000</v>
      </c>
      <c r="E5">
        <v>0.01</v>
      </c>
      <c r="F5" s="3">
        <v>42277</v>
      </c>
      <c r="G5" s="8" t="s">
        <v>196</v>
      </c>
      <c r="H5" s="8" t="s">
        <v>249</v>
      </c>
      <c r="I5" t="s">
        <v>232</v>
      </c>
      <c r="K5" t="s">
        <v>211</v>
      </c>
      <c r="L5">
        <v>90004</v>
      </c>
      <c r="M5">
        <v>102</v>
      </c>
      <c r="N5" t="s">
        <v>33</v>
      </c>
      <c r="O5" s="27">
        <f t="shared" si="0"/>
        <v>42277</v>
      </c>
      <c r="P5" s="29">
        <f t="shared" si="1"/>
        <v>90004</v>
      </c>
      <c r="Q5" s="29">
        <f>INDEX($A:I,MATCH($L5,$A:$A,0),4)</f>
        <v>1000</v>
      </c>
      <c r="R5" s="29" t="str">
        <f>INDEX($A:J,MATCH($L5,$A:$A,0),9)</f>
        <v>G17</v>
      </c>
    </row>
    <row r="6" spans="1:18">
      <c r="A6">
        <v>90005</v>
      </c>
      <c r="B6">
        <v>102</v>
      </c>
      <c r="C6" t="s">
        <v>33</v>
      </c>
      <c r="D6" s="21">
        <v>1000</v>
      </c>
      <c r="E6">
        <v>0.01</v>
      </c>
      <c r="F6" s="3">
        <v>42368</v>
      </c>
      <c r="G6" s="8" t="s">
        <v>196</v>
      </c>
      <c r="H6" s="8" t="s">
        <v>250</v>
      </c>
      <c r="I6" t="s">
        <v>233</v>
      </c>
      <c r="K6" t="s">
        <v>212</v>
      </c>
      <c r="L6">
        <v>90005</v>
      </c>
      <c r="M6">
        <v>102</v>
      </c>
      <c r="N6" t="s">
        <v>33</v>
      </c>
      <c r="O6" s="27">
        <f t="shared" si="0"/>
        <v>42368</v>
      </c>
      <c r="P6" s="29">
        <f t="shared" si="1"/>
        <v>90004</v>
      </c>
      <c r="Q6" s="29">
        <f>INDEX($A:I,MATCH($L6,$A:$A,0),4)</f>
        <v>1000</v>
      </c>
      <c r="R6" s="29" t="str">
        <f>INDEX($A:J,MATCH($L6,$A:$A,0),9)</f>
        <v>G16</v>
      </c>
    </row>
    <row r="7" spans="1:18">
      <c r="A7">
        <v>90006</v>
      </c>
      <c r="B7">
        <v>200</v>
      </c>
      <c r="C7" t="s">
        <v>33</v>
      </c>
      <c r="D7" s="21">
        <v>1000</v>
      </c>
      <c r="E7">
        <v>0.01</v>
      </c>
      <c r="F7" s="3">
        <v>42734</v>
      </c>
      <c r="G7" s="8" t="s">
        <v>196</v>
      </c>
      <c r="H7" s="8" t="s">
        <v>251</v>
      </c>
      <c r="I7" t="s">
        <v>234</v>
      </c>
      <c r="K7" t="s">
        <v>213</v>
      </c>
      <c r="L7">
        <v>90006</v>
      </c>
      <c r="M7">
        <v>200</v>
      </c>
      <c r="N7" t="s">
        <v>33</v>
      </c>
      <c r="O7" s="27">
        <f t="shared" si="0"/>
        <v>42734</v>
      </c>
      <c r="P7" s="29">
        <f t="shared" si="1"/>
        <v>90006</v>
      </c>
      <c r="Q7" s="29">
        <f>INDEX($A:I,MATCH($L7,$A:$A,0),4)</f>
        <v>1000</v>
      </c>
      <c r="R7" s="29" t="str">
        <f>INDEX($A:J,MATCH($L7,$A:$A,0),9)</f>
        <v>G15</v>
      </c>
    </row>
    <row r="8" spans="1:18">
      <c r="A8">
        <v>90007</v>
      </c>
      <c r="B8">
        <v>201</v>
      </c>
      <c r="C8" t="s">
        <v>33</v>
      </c>
      <c r="D8" s="21">
        <v>1000</v>
      </c>
      <c r="E8">
        <v>0.01</v>
      </c>
      <c r="F8" s="3">
        <v>42459</v>
      </c>
      <c r="G8" s="8" t="s">
        <v>196</v>
      </c>
      <c r="H8" s="8" t="s">
        <v>252</v>
      </c>
      <c r="I8" t="s">
        <v>235</v>
      </c>
      <c r="K8" t="s">
        <v>214</v>
      </c>
      <c r="L8">
        <v>90007</v>
      </c>
      <c r="M8">
        <v>201</v>
      </c>
      <c r="N8" t="s">
        <v>33</v>
      </c>
      <c r="O8" s="27">
        <f t="shared" si="0"/>
        <v>42459</v>
      </c>
      <c r="P8" s="29">
        <f t="shared" si="1"/>
        <v>90007</v>
      </c>
      <c r="Q8" s="29">
        <f>INDEX($A:I,MATCH($L8,$A:$A,0),4)</f>
        <v>1000</v>
      </c>
      <c r="R8" s="29" t="str">
        <f>INDEX($A:J,MATCH($L8,$A:$A,0),9)</f>
        <v>G14</v>
      </c>
    </row>
    <row r="9" spans="1:18">
      <c r="A9">
        <v>90008</v>
      </c>
      <c r="B9">
        <v>201</v>
      </c>
      <c r="C9" t="s">
        <v>33</v>
      </c>
      <c r="D9" s="21">
        <v>1000</v>
      </c>
      <c r="E9">
        <v>0.01</v>
      </c>
      <c r="F9" s="3">
        <v>43920</v>
      </c>
      <c r="G9" s="8" t="s">
        <v>196</v>
      </c>
      <c r="H9" s="8" t="s">
        <v>253</v>
      </c>
      <c r="I9" t="s">
        <v>236</v>
      </c>
      <c r="K9" t="s">
        <v>215</v>
      </c>
      <c r="L9">
        <v>90008</v>
      </c>
      <c r="M9">
        <v>201</v>
      </c>
      <c r="N9" t="s">
        <v>33</v>
      </c>
      <c r="O9" s="27">
        <f t="shared" si="0"/>
        <v>43920</v>
      </c>
      <c r="P9" s="29">
        <f t="shared" si="1"/>
        <v>90007</v>
      </c>
      <c r="Q9" s="29">
        <f>INDEX($A:I,MATCH($L9,$A:$A,0),4)</f>
        <v>1000</v>
      </c>
      <c r="R9" s="29" t="str">
        <f>INDEX($A:J,MATCH($L9,$A:$A,0),9)</f>
        <v>G13</v>
      </c>
    </row>
    <row r="10" spans="1:18">
      <c r="A10">
        <v>90009</v>
      </c>
      <c r="B10">
        <v>202</v>
      </c>
      <c r="C10" t="s">
        <v>33</v>
      </c>
      <c r="D10" s="21">
        <v>1000</v>
      </c>
      <c r="E10">
        <v>0.01</v>
      </c>
      <c r="F10" s="3">
        <v>45015</v>
      </c>
      <c r="G10" s="8" t="s">
        <v>196</v>
      </c>
      <c r="H10" s="8" t="s">
        <v>254</v>
      </c>
      <c r="I10" t="s">
        <v>237</v>
      </c>
      <c r="K10" t="s">
        <v>216</v>
      </c>
      <c r="L10">
        <v>90009</v>
      </c>
      <c r="M10">
        <v>202</v>
      </c>
      <c r="N10" t="s">
        <v>33</v>
      </c>
      <c r="O10" s="27">
        <f t="shared" si="0"/>
        <v>45015</v>
      </c>
      <c r="P10" s="29">
        <f t="shared" si="1"/>
        <v>90009</v>
      </c>
      <c r="Q10" s="29">
        <f>INDEX($A:I,MATCH($L10,$A:$A,0),4)</f>
        <v>1000</v>
      </c>
      <c r="R10" s="29" t="str">
        <f>INDEX($A:J,MATCH($L10,$A:$A,0),9)</f>
        <v>G12</v>
      </c>
    </row>
    <row r="11" spans="1:18">
      <c r="A11">
        <v>90010</v>
      </c>
      <c r="B11">
        <v>202</v>
      </c>
      <c r="C11" t="s">
        <v>33</v>
      </c>
      <c r="D11" s="21">
        <v>1000</v>
      </c>
      <c r="E11">
        <v>0.01</v>
      </c>
      <c r="F11" s="3">
        <v>45746</v>
      </c>
      <c r="G11" s="8" t="s">
        <v>196</v>
      </c>
      <c r="H11" s="8" t="s">
        <v>255</v>
      </c>
      <c r="I11" t="s">
        <v>238</v>
      </c>
      <c r="K11" t="s">
        <v>217</v>
      </c>
      <c r="L11">
        <v>90010</v>
      </c>
      <c r="M11">
        <v>202</v>
      </c>
      <c r="N11" t="s">
        <v>33</v>
      </c>
      <c r="O11" s="27">
        <f t="shared" si="0"/>
        <v>45746</v>
      </c>
      <c r="P11" s="29">
        <f t="shared" si="1"/>
        <v>90009</v>
      </c>
      <c r="Q11" s="29">
        <f>INDEX($A:I,MATCH($L11,$A:$A,0),4)</f>
        <v>1000</v>
      </c>
      <c r="R11" s="29" t="str">
        <f>INDEX($A:J,MATCH($L11,$A:$A,0),9)</f>
        <v>G11</v>
      </c>
    </row>
    <row r="12" spans="1:18">
      <c r="A12">
        <v>90011</v>
      </c>
      <c r="B12">
        <v>101</v>
      </c>
      <c r="C12" t="s">
        <v>154</v>
      </c>
      <c r="D12" s="21">
        <v>1000</v>
      </c>
      <c r="E12">
        <v>0.01</v>
      </c>
      <c r="F12" s="3">
        <v>42124</v>
      </c>
      <c r="G12" s="8" t="s">
        <v>195</v>
      </c>
      <c r="H12" s="8" t="s">
        <v>256</v>
      </c>
      <c r="I12" t="s">
        <v>239</v>
      </c>
      <c r="K12" t="s">
        <v>218</v>
      </c>
      <c r="L12">
        <v>90011</v>
      </c>
      <c r="M12">
        <v>101</v>
      </c>
      <c r="N12" t="s">
        <v>154</v>
      </c>
      <c r="O12" s="27">
        <f t="shared" si="0"/>
        <v>42124</v>
      </c>
      <c r="P12" s="29">
        <f t="shared" si="1"/>
        <v>90001</v>
      </c>
      <c r="Q12" s="29">
        <f>INDEX($A:I,MATCH($L12,$A:$A,0),4)</f>
        <v>1000</v>
      </c>
      <c r="R12" s="29" t="str">
        <f>INDEX($A:J,MATCH($L12,$A:$A,0),9)</f>
        <v>G10</v>
      </c>
    </row>
    <row r="13" spans="1:18">
      <c r="A13">
        <v>90012</v>
      </c>
      <c r="B13">
        <v>101</v>
      </c>
      <c r="C13" t="s">
        <v>154</v>
      </c>
      <c r="D13" s="21">
        <v>1000</v>
      </c>
      <c r="E13">
        <v>0.01</v>
      </c>
      <c r="F13" s="3">
        <v>42154</v>
      </c>
      <c r="G13" s="8" t="s">
        <v>195</v>
      </c>
      <c r="H13" s="8" t="s">
        <v>257</v>
      </c>
      <c r="I13" t="s">
        <v>240</v>
      </c>
      <c r="K13" t="s">
        <v>219</v>
      </c>
      <c r="L13">
        <v>90012</v>
      </c>
      <c r="M13">
        <v>101</v>
      </c>
      <c r="N13" t="s">
        <v>154</v>
      </c>
      <c r="O13" s="27">
        <f t="shared" si="0"/>
        <v>42154</v>
      </c>
      <c r="P13" s="29">
        <f t="shared" si="1"/>
        <v>90001</v>
      </c>
      <c r="Q13" s="29">
        <f>INDEX($A:I,MATCH($L13,$A:$A,0),4)</f>
        <v>1000</v>
      </c>
      <c r="R13" s="29" t="str">
        <f>INDEX($A:J,MATCH($L13,$A:$A,0),9)</f>
        <v>G9</v>
      </c>
    </row>
    <row r="14" spans="1:18">
      <c r="A14">
        <v>90013</v>
      </c>
      <c r="B14">
        <v>101</v>
      </c>
      <c r="C14" t="s">
        <v>155</v>
      </c>
      <c r="D14" s="21">
        <v>1000</v>
      </c>
      <c r="E14">
        <v>0.01</v>
      </c>
      <c r="F14" s="3">
        <v>42215</v>
      </c>
      <c r="G14" s="8" t="s">
        <v>195</v>
      </c>
      <c r="H14" s="8" t="s">
        <v>258</v>
      </c>
      <c r="I14" t="s">
        <v>241</v>
      </c>
      <c r="K14" t="s">
        <v>220</v>
      </c>
      <c r="L14">
        <v>90013</v>
      </c>
      <c r="M14">
        <v>101</v>
      </c>
      <c r="N14" t="s">
        <v>155</v>
      </c>
      <c r="O14" s="27">
        <f t="shared" si="0"/>
        <v>42215</v>
      </c>
      <c r="P14" s="29">
        <f t="shared" si="1"/>
        <v>90001</v>
      </c>
      <c r="Q14" s="29">
        <f>INDEX($A:I,MATCH($L14,$A:$A,0),4)</f>
        <v>1000</v>
      </c>
      <c r="R14" s="29" t="str">
        <f>INDEX($A:J,MATCH($L14,$A:$A,0),9)</f>
        <v>G8</v>
      </c>
    </row>
    <row r="15" spans="1:18">
      <c r="A15">
        <v>90014</v>
      </c>
      <c r="B15">
        <v>102</v>
      </c>
      <c r="C15" t="s">
        <v>154</v>
      </c>
      <c r="D15" s="21">
        <v>1000</v>
      </c>
      <c r="E15">
        <v>0.01</v>
      </c>
      <c r="F15" s="3">
        <v>42307</v>
      </c>
      <c r="G15" s="8" t="s">
        <v>195</v>
      </c>
      <c r="H15" s="8" t="s">
        <v>259</v>
      </c>
      <c r="I15" t="s">
        <v>242</v>
      </c>
      <c r="K15" t="s">
        <v>221</v>
      </c>
      <c r="L15">
        <v>90014</v>
      </c>
      <c r="M15">
        <v>102</v>
      </c>
      <c r="N15" t="s">
        <v>154</v>
      </c>
      <c r="O15" s="27">
        <f t="shared" si="0"/>
        <v>42307</v>
      </c>
      <c r="P15" s="29">
        <f t="shared" si="1"/>
        <v>90004</v>
      </c>
      <c r="Q15" s="29">
        <f>INDEX($A:I,MATCH($L15,$A:$A,0),4)</f>
        <v>1000</v>
      </c>
      <c r="R15" s="29" t="str">
        <f>INDEX($A:J,MATCH($L15,$A:$A,0),9)</f>
        <v>G7</v>
      </c>
    </row>
    <row r="16" spans="1:18">
      <c r="A16">
        <v>90015</v>
      </c>
      <c r="B16">
        <v>102</v>
      </c>
      <c r="C16" t="s">
        <v>155</v>
      </c>
      <c r="D16" s="21">
        <v>1000</v>
      </c>
      <c r="E16">
        <v>0.01</v>
      </c>
      <c r="F16" s="3">
        <v>42399</v>
      </c>
      <c r="G16" s="8" t="s">
        <v>195</v>
      </c>
      <c r="H16" s="8" t="s">
        <v>260</v>
      </c>
      <c r="I16" t="s">
        <v>243</v>
      </c>
      <c r="K16" t="s">
        <v>222</v>
      </c>
      <c r="L16">
        <v>90015</v>
      </c>
      <c r="M16">
        <v>102</v>
      </c>
      <c r="N16" t="s">
        <v>155</v>
      </c>
      <c r="O16" s="27">
        <f t="shared" si="0"/>
        <v>42399</v>
      </c>
      <c r="P16" s="29">
        <f t="shared" si="1"/>
        <v>90004</v>
      </c>
      <c r="Q16" s="29">
        <f>INDEX($A:I,MATCH($L16,$A:$A,0),4)</f>
        <v>1000</v>
      </c>
      <c r="R16" s="29" t="str">
        <f>INDEX($A:J,MATCH($L16,$A:$A,0),9)</f>
        <v>G6</v>
      </c>
    </row>
    <row r="17" spans="1:18">
      <c r="A17">
        <v>90016</v>
      </c>
      <c r="B17">
        <v>200</v>
      </c>
      <c r="C17" t="s">
        <v>155</v>
      </c>
      <c r="D17" s="21">
        <v>1000</v>
      </c>
      <c r="E17">
        <v>0.01</v>
      </c>
      <c r="F17" s="3">
        <v>42765</v>
      </c>
      <c r="G17" s="8" t="s">
        <v>195</v>
      </c>
      <c r="H17" s="8" t="s">
        <v>261</v>
      </c>
      <c r="I17" t="s">
        <v>244</v>
      </c>
      <c r="K17" t="s">
        <v>223</v>
      </c>
      <c r="L17">
        <v>90016</v>
      </c>
      <c r="M17">
        <v>200</v>
      </c>
      <c r="N17" t="s">
        <v>155</v>
      </c>
      <c r="O17" s="27">
        <f t="shared" si="0"/>
        <v>42765</v>
      </c>
      <c r="P17" s="29">
        <f t="shared" si="1"/>
        <v>90006</v>
      </c>
      <c r="Q17" s="29">
        <f>INDEX($A:I,MATCH($L17,$A:$A,0),4)</f>
        <v>1000</v>
      </c>
      <c r="R17" s="29" t="str">
        <f>INDEX($A:J,MATCH($L17,$A:$A,0),9)</f>
        <v>G5</v>
      </c>
    </row>
    <row r="18" spans="1:18">
      <c r="A18">
        <v>90017</v>
      </c>
      <c r="B18">
        <v>201</v>
      </c>
      <c r="C18" t="s">
        <v>154</v>
      </c>
      <c r="D18" s="21">
        <v>1000</v>
      </c>
      <c r="E18">
        <v>0.01</v>
      </c>
      <c r="F18" s="3">
        <v>42490</v>
      </c>
      <c r="G18" s="8" t="s">
        <v>196</v>
      </c>
      <c r="H18" s="8" t="s">
        <v>262</v>
      </c>
      <c r="I18" t="s">
        <v>245</v>
      </c>
      <c r="K18" t="s">
        <v>224</v>
      </c>
      <c r="L18">
        <v>90017</v>
      </c>
      <c r="M18">
        <v>201</v>
      </c>
      <c r="N18" t="s">
        <v>154</v>
      </c>
      <c r="O18" s="27">
        <f t="shared" si="0"/>
        <v>42490</v>
      </c>
      <c r="P18" s="29">
        <f t="shared" si="1"/>
        <v>90007</v>
      </c>
      <c r="Q18" s="29">
        <f>INDEX($A:I,MATCH($L18,$A:$A,0),4)</f>
        <v>1000</v>
      </c>
      <c r="R18" s="29" t="str">
        <f>INDEX($A:J,MATCH($L18,$A:$A,0),9)</f>
        <v>G4</v>
      </c>
    </row>
    <row r="19" spans="1:18">
      <c r="A19">
        <v>90018</v>
      </c>
      <c r="B19">
        <v>201</v>
      </c>
      <c r="C19" t="s">
        <v>155</v>
      </c>
      <c r="D19" s="21">
        <v>1000</v>
      </c>
      <c r="E19">
        <v>0.01</v>
      </c>
      <c r="F19" s="3">
        <v>43951</v>
      </c>
      <c r="G19" s="8" t="s">
        <v>196</v>
      </c>
      <c r="H19" s="8" t="s">
        <v>263</v>
      </c>
      <c r="I19" t="s">
        <v>228</v>
      </c>
      <c r="K19" t="s">
        <v>207</v>
      </c>
      <c r="L19">
        <v>90018</v>
      </c>
      <c r="M19">
        <v>201</v>
      </c>
      <c r="N19" t="s">
        <v>155</v>
      </c>
      <c r="O19" s="27">
        <f t="shared" si="0"/>
        <v>43951</v>
      </c>
      <c r="P19" s="29">
        <f t="shared" si="1"/>
        <v>90007</v>
      </c>
      <c r="Q19" s="29">
        <f>INDEX($A:I,MATCH($L19,$A:$A,0),4)</f>
        <v>1000</v>
      </c>
      <c r="R19" s="29" t="str">
        <f>INDEX($A:J,MATCH($L19,$A:$A,0),9)</f>
        <v>G3</v>
      </c>
    </row>
    <row r="20" spans="1:18">
      <c r="A20">
        <v>90019</v>
      </c>
      <c r="B20">
        <v>202</v>
      </c>
      <c r="C20" t="s">
        <v>154</v>
      </c>
      <c r="D20" s="21">
        <v>1000</v>
      </c>
      <c r="E20">
        <v>0.01</v>
      </c>
      <c r="F20" s="3">
        <v>45046</v>
      </c>
      <c r="G20" s="8" t="s">
        <v>196</v>
      </c>
      <c r="H20" s="8" t="s">
        <v>264</v>
      </c>
      <c r="I20" t="s">
        <v>227</v>
      </c>
      <c r="K20" t="s">
        <v>206</v>
      </c>
      <c r="L20">
        <v>90019</v>
      </c>
      <c r="M20">
        <v>202</v>
      </c>
      <c r="N20" t="s">
        <v>154</v>
      </c>
      <c r="O20" s="27">
        <f t="shared" si="0"/>
        <v>45046</v>
      </c>
      <c r="P20" s="29">
        <f t="shared" si="1"/>
        <v>90009</v>
      </c>
      <c r="Q20" s="29">
        <f>INDEX($A:I,MATCH($L20,$A:$A,0),4)</f>
        <v>1000</v>
      </c>
      <c r="R20" s="29" t="str">
        <f>INDEX($A:J,MATCH($L20,$A:$A,0),9)</f>
        <v>G2</v>
      </c>
    </row>
    <row r="21" spans="1:18">
      <c r="A21">
        <v>90020</v>
      </c>
      <c r="B21">
        <v>202</v>
      </c>
      <c r="C21" t="s">
        <v>155</v>
      </c>
      <c r="D21" s="21">
        <v>1000</v>
      </c>
      <c r="E21">
        <v>0.01</v>
      </c>
      <c r="F21" s="3">
        <v>45777</v>
      </c>
      <c r="G21" s="8" t="s">
        <v>196</v>
      </c>
      <c r="H21" s="8" t="s">
        <v>265</v>
      </c>
      <c r="I21" t="s">
        <v>226</v>
      </c>
      <c r="K21" t="s">
        <v>205</v>
      </c>
      <c r="L21">
        <v>90020</v>
      </c>
      <c r="M21">
        <v>202</v>
      </c>
      <c r="N21" t="s">
        <v>155</v>
      </c>
      <c r="O21" s="27">
        <f t="shared" si="0"/>
        <v>45777</v>
      </c>
      <c r="P21" s="29">
        <f t="shared" si="1"/>
        <v>90009</v>
      </c>
      <c r="Q21" s="29">
        <f>INDEX($A:I,MATCH($L21,$A:$A,0),4)</f>
        <v>1000</v>
      </c>
      <c r="R21" s="29" t="str">
        <f>INDEX($A:J,MATCH($L21,$A:$A,0),9)</f>
        <v>G1</v>
      </c>
    </row>
    <row r="24" spans="1:18">
      <c r="A24" s="1" t="s">
        <v>273</v>
      </c>
      <c r="B24" s="1" t="s">
        <v>271</v>
      </c>
      <c r="C24" s="1" t="s">
        <v>272</v>
      </c>
    </row>
    <row r="25" spans="1:18">
      <c r="A25" s="2">
        <v>1</v>
      </c>
      <c r="B25" s="1" t="s">
        <v>266</v>
      </c>
      <c r="C25" s="12">
        <v>42460</v>
      </c>
    </row>
    <row r="26" spans="1:18">
      <c r="A26" s="2">
        <v>2</v>
      </c>
      <c r="B26" s="1" t="s">
        <v>268</v>
      </c>
      <c r="C26" s="12">
        <v>43190</v>
      </c>
    </row>
    <row r="27" spans="1:18">
      <c r="A27" s="2">
        <v>3</v>
      </c>
      <c r="B27" s="1" t="s">
        <v>267</v>
      </c>
      <c r="C27" s="12">
        <v>43921</v>
      </c>
    </row>
    <row r="28" spans="1:18">
      <c r="A28" s="2">
        <v>4</v>
      </c>
      <c r="B28" s="1" t="s">
        <v>269</v>
      </c>
      <c r="C28" s="12">
        <v>44651</v>
      </c>
    </row>
    <row r="29" spans="1:18">
      <c r="A29" s="2">
        <v>5</v>
      </c>
      <c r="B29" s="1" t="s">
        <v>270</v>
      </c>
      <c r="C29" s="12">
        <v>45747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7"/>
  <sheetViews>
    <sheetView workbookViewId="0"/>
  </sheetViews>
  <sheetFormatPr defaultRowHeight="13.2"/>
  <cols>
    <col min="1" max="1" width="3.109375" customWidth="1"/>
    <col min="2" max="6" width="3" customWidth="1"/>
    <col min="7" max="7" width="3.21875" customWidth="1"/>
    <col min="8" max="8" width="2.6640625" style="26" customWidth="1"/>
    <col min="9" max="9" width="4.6640625" bestFit="1" customWidth="1"/>
    <col min="10" max="10" width="5.21875" bestFit="1" customWidth="1"/>
    <col min="11" max="26" width="2.77734375" customWidth="1"/>
  </cols>
  <sheetData>
    <row r="1" spans="1:10">
      <c r="B1" s="25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I1" t="s">
        <v>198</v>
      </c>
      <c r="J1" t="s">
        <v>197</v>
      </c>
    </row>
    <row r="2" spans="1:10">
      <c r="A2" s="25">
        <v>1</v>
      </c>
      <c r="B2">
        <v>3</v>
      </c>
      <c r="C2">
        <v>4</v>
      </c>
      <c r="D2">
        <v>1</v>
      </c>
      <c r="E2">
        <v>5</v>
      </c>
      <c r="F2">
        <v>2</v>
      </c>
      <c r="G2">
        <v>6</v>
      </c>
      <c r="I2" s="26">
        <v>6</v>
      </c>
      <c r="J2" t="s">
        <v>200</v>
      </c>
    </row>
    <row r="3" spans="1:10">
      <c r="A3" s="25">
        <v>2</v>
      </c>
      <c r="B3">
        <v>4</v>
      </c>
      <c r="C3">
        <v>2</v>
      </c>
      <c r="D3">
        <v>5</v>
      </c>
      <c r="E3">
        <v>1</v>
      </c>
      <c r="F3">
        <v>6</v>
      </c>
      <c r="G3">
        <v>3</v>
      </c>
      <c r="I3">
        <v>5</v>
      </c>
      <c r="J3" t="s">
        <v>201</v>
      </c>
    </row>
    <row r="4" spans="1:10">
      <c r="A4" s="25">
        <v>3</v>
      </c>
      <c r="B4">
        <v>5</v>
      </c>
      <c r="C4">
        <v>6</v>
      </c>
      <c r="D4">
        <v>2</v>
      </c>
      <c r="E4">
        <v>3</v>
      </c>
      <c r="F4">
        <v>4</v>
      </c>
      <c r="G4">
        <v>1</v>
      </c>
      <c r="I4">
        <v>6</v>
      </c>
      <c r="J4" t="s">
        <v>202</v>
      </c>
    </row>
    <row r="5" spans="1:10">
      <c r="A5" s="25">
        <v>4</v>
      </c>
      <c r="B5">
        <v>6</v>
      </c>
      <c r="C5">
        <v>5</v>
      </c>
      <c r="D5">
        <v>3</v>
      </c>
      <c r="E5">
        <v>4</v>
      </c>
      <c r="F5">
        <v>1</v>
      </c>
      <c r="G5">
        <v>2</v>
      </c>
      <c r="I5">
        <v>6</v>
      </c>
      <c r="J5" t="s">
        <v>202</v>
      </c>
    </row>
    <row r="6" spans="1:10">
      <c r="A6" s="25">
        <v>5</v>
      </c>
      <c r="B6">
        <v>1</v>
      </c>
      <c r="C6">
        <v>3</v>
      </c>
      <c r="D6">
        <v>6</v>
      </c>
      <c r="E6">
        <v>2</v>
      </c>
      <c r="F6">
        <v>5</v>
      </c>
      <c r="G6">
        <v>4</v>
      </c>
      <c r="I6">
        <v>4</v>
      </c>
      <c r="J6" t="s">
        <v>199</v>
      </c>
    </row>
    <row r="7" spans="1:10">
      <c r="A7" s="25">
        <v>6</v>
      </c>
      <c r="B7">
        <v>2</v>
      </c>
      <c r="C7">
        <v>1</v>
      </c>
      <c r="D7">
        <v>4</v>
      </c>
      <c r="E7">
        <v>6</v>
      </c>
      <c r="F7">
        <v>3</v>
      </c>
      <c r="G7"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3.2"/>
  <cols>
    <col min="1" max="1" width="11.6640625" customWidth="1"/>
    <col min="2" max="2" width="19.109375" bestFit="1" customWidth="1"/>
    <col min="4" max="4" width="5.77734375" customWidth="1"/>
    <col min="5" max="5" width="8.6640625" customWidth="1"/>
    <col min="6" max="6" width="9.109375" bestFit="1" customWidth="1"/>
    <col min="7" max="7" width="13.77734375" bestFit="1" customWidth="1"/>
    <col min="8" max="9" width="9.88671875" bestFit="1" customWidth="1"/>
    <col min="10" max="10" width="6.44140625" customWidth="1"/>
  </cols>
  <sheetData>
    <row r="1" spans="1:10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</row>
    <row r="2" spans="1:10">
      <c r="A2">
        <v>90001</v>
      </c>
      <c r="B2">
        <v>10001</v>
      </c>
      <c r="C2">
        <v>100</v>
      </c>
      <c r="D2" t="s">
        <v>33</v>
      </c>
      <c r="E2">
        <v>1000</v>
      </c>
      <c r="F2">
        <v>42124</v>
      </c>
      <c r="G2">
        <v>42124</v>
      </c>
      <c r="H2">
        <v>0.02</v>
      </c>
      <c r="I2">
        <v>0.01</v>
      </c>
      <c r="J2" t="s">
        <v>34</v>
      </c>
    </row>
    <row r="3" spans="1:10">
      <c r="A3">
        <v>90002</v>
      </c>
      <c r="B3">
        <v>10002</v>
      </c>
      <c r="C3">
        <v>101</v>
      </c>
      <c r="D3" t="s">
        <v>33</v>
      </c>
      <c r="E3">
        <v>1000</v>
      </c>
      <c r="F3">
        <v>42154</v>
      </c>
      <c r="G3">
        <v>42154</v>
      </c>
      <c r="H3">
        <v>0.02</v>
      </c>
      <c r="I3">
        <v>0.01</v>
      </c>
      <c r="J3" t="s">
        <v>35</v>
      </c>
    </row>
    <row r="4" spans="1:10">
      <c r="A4">
        <v>90003</v>
      </c>
      <c r="B4">
        <v>10001</v>
      </c>
      <c r="C4">
        <v>101</v>
      </c>
      <c r="D4" t="s">
        <v>33</v>
      </c>
      <c r="E4">
        <v>1000</v>
      </c>
      <c r="F4">
        <v>42185</v>
      </c>
      <c r="G4">
        <v>42185</v>
      </c>
      <c r="H4">
        <v>0.02</v>
      </c>
      <c r="I4">
        <v>0.01</v>
      </c>
      <c r="J4" t="s">
        <v>35</v>
      </c>
    </row>
    <row r="5" spans="1:10">
      <c r="A5">
        <v>90004</v>
      </c>
      <c r="B5">
        <v>10002</v>
      </c>
      <c r="C5">
        <v>102</v>
      </c>
      <c r="D5" t="s">
        <v>33</v>
      </c>
      <c r="E5">
        <v>1000</v>
      </c>
      <c r="F5">
        <v>42277</v>
      </c>
      <c r="G5">
        <v>42277</v>
      </c>
      <c r="H5">
        <v>0.02</v>
      </c>
      <c r="I5">
        <v>0.01</v>
      </c>
      <c r="J5" t="s">
        <v>35</v>
      </c>
    </row>
    <row r="6" spans="1:10">
      <c r="A6">
        <v>90005</v>
      </c>
      <c r="B6">
        <v>10002</v>
      </c>
      <c r="C6">
        <v>102</v>
      </c>
      <c r="D6" t="s">
        <v>33</v>
      </c>
      <c r="E6">
        <v>1000</v>
      </c>
      <c r="F6">
        <v>42368</v>
      </c>
      <c r="G6">
        <v>42368</v>
      </c>
      <c r="H6">
        <v>0.02</v>
      </c>
      <c r="I6">
        <v>0.01</v>
      </c>
      <c r="J6" t="s">
        <v>35</v>
      </c>
    </row>
    <row r="7" spans="1:10">
      <c r="A7">
        <v>90006</v>
      </c>
      <c r="B7">
        <v>10003</v>
      </c>
      <c r="C7">
        <v>200</v>
      </c>
      <c r="D7" t="s">
        <v>33</v>
      </c>
      <c r="E7">
        <v>1000</v>
      </c>
      <c r="F7">
        <v>42368</v>
      </c>
      <c r="G7">
        <v>42734</v>
      </c>
      <c r="H7">
        <v>0.02</v>
      </c>
      <c r="I7">
        <v>0.01</v>
      </c>
      <c r="J7" t="s">
        <v>35</v>
      </c>
    </row>
    <row r="8" spans="1:10">
      <c r="A8">
        <v>90007</v>
      </c>
      <c r="B8">
        <v>10001</v>
      </c>
      <c r="C8">
        <v>201</v>
      </c>
      <c r="D8" t="s">
        <v>33</v>
      </c>
      <c r="E8">
        <v>1000</v>
      </c>
      <c r="F8">
        <v>42093</v>
      </c>
      <c r="G8">
        <v>42459</v>
      </c>
      <c r="H8">
        <v>0.02</v>
      </c>
      <c r="I8">
        <v>0.01</v>
      </c>
      <c r="J8" t="s">
        <v>35</v>
      </c>
    </row>
    <row r="9" spans="1:10">
      <c r="A9">
        <v>90008</v>
      </c>
      <c r="B9">
        <v>10002</v>
      </c>
      <c r="C9">
        <v>201</v>
      </c>
      <c r="D9" t="s">
        <v>33</v>
      </c>
      <c r="E9">
        <v>1000</v>
      </c>
      <c r="F9">
        <v>42093</v>
      </c>
      <c r="G9">
        <v>43920</v>
      </c>
      <c r="H9">
        <v>0.02</v>
      </c>
      <c r="I9">
        <v>0.01</v>
      </c>
      <c r="J9" t="s">
        <v>35</v>
      </c>
    </row>
    <row r="10" spans="1:10">
      <c r="A10">
        <v>90009</v>
      </c>
      <c r="B10">
        <v>10003</v>
      </c>
      <c r="C10">
        <v>202</v>
      </c>
      <c r="D10" t="s">
        <v>33</v>
      </c>
      <c r="E10">
        <v>1000</v>
      </c>
      <c r="F10">
        <v>42093</v>
      </c>
      <c r="G10">
        <v>45015</v>
      </c>
      <c r="H10">
        <v>0.02</v>
      </c>
      <c r="I10">
        <v>0.01</v>
      </c>
      <c r="J10" t="s">
        <v>35</v>
      </c>
    </row>
    <row r="11" spans="1:10">
      <c r="A11">
        <v>90010</v>
      </c>
      <c r="B11">
        <v>10002</v>
      </c>
      <c r="C11">
        <v>202</v>
      </c>
      <c r="D11" t="s">
        <v>33</v>
      </c>
      <c r="E11">
        <v>1000</v>
      </c>
      <c r="F11">
        <v>42093</v>
      </c>
      <c r="G11">
        <v>45746</v>
      </c>
      <c r="H11">
        <v>0.02</v>
      </c>
      <c r="I11">
        <v>0.01</v>
      </c>
      <c r="J11" t="s">
        <v>35</v>
      </c>
    </row>
    <row r="12" spans="1:10">
      <c r="A12">
        <v>90011</v>
      </c>
      <c r="B12">
        <v>30001</v>
      </c>
      <c r="C12">
        <v>100</v>
      </c>
      <c r="D12" t="s">
        <v>154</v>
      </c>
      <c r="E12">
        <v>1000</v>
      </c>
      <c r="F12">
        <v>42124</v>
      </c>
      <c r="G12">
        <v>42124</v>
      </c>
      <c r="H12">
        <v>0.02</v>
      </c>
      <c r="I12">
        <v>0.01</v>
      </c>
      <c r="J12" t="s">
        <v>35</v>
      </c>
    </row>
    <row r="13" spans="1:10">
      <c r="A13">
        <v>90012</v>
      </c>
      <c r="B13">
        <v>30002</v>
      </c>
      <c r="C13">
        <v>101</v>
      </c>
      <c r="D13" t="s">
        <v>154</v>
      </c>
      <c r="E13">
        <v>1000</v>
      </c>
      <c r="F13">
        <v>42154</v>
      </c>
      <c r="G13">
        <v>42154</v>
      </c>
      <c r="H13">
        <v>0.02</v>
      </c>
      <c r="I13">
        <v>0.01</v>
      </c>
      <c r="J13" t="s">
        <v>35</v>
      </c>
    </row>
    <row r="14" spans="1:10">
      <c r="A14">
        <v>90013</v>
      </c>
      <c r="B14">
        <v>30001</v>
      </c>
      <c r="C14">
        <v>101</v>
      </c>
      <c r="D14" t="s">
        <v>155</v>
      </c>
      <c r="E14">
        <v>1000</v>
      </c>
      <c r="F14">
        <v>42215</v>
      </c>
      <c r="G14">
        <v>42215</v>
      </c>
      <c r="H14">
        <v>0.02</v>
      </c>
      <c r="I14">
        <v>0.01</v>
      </c>
      <c r="J14" t="s">
        <v>35</v>
      </c>
    </row>
    <row r="15" spans="1:10">
      <c r="A15">
        <v>90014</v>
      </c>
      <c r="B15">
        <v>30001</v>
      </c>
      <c r="C15">
        <v>102</v>
      </c>
      <c r="D15" t="s">
        <v>154</v>
      </c>
      <c r="E15">
        <v>1000</v>
      </c>
      <c r="F15">
        <v>42307</v>
      </c>
      <c r="G15">
        <v>42307</v>
      </c>
      <c r="H15">
        <v>0.02</v>
      </c>
      <c r="I15">
        <v>0.01</v>
      </c>
      <c r="J15" t="s">
        <v>35</v>
      </c>
    </row>
    <row r="16" spans="1:10">
      <c r="A16">
        <v>90015</v>
      </c>
      <c r="B16">
        <v>30003</v>
      </c>
      <c r="C16">
        <v>102</v>
      </c>
      <c r="D16" t="s">
        <v>155</v>
      </c>
      <c r="E16">
        <v>1000</v>
      </c>
      <c r="F16">
        <v>42034</v>
      </c>
      <c r="G16">
        <v>42399</v>
      </c>
      <c r="H16">
        <v>0.02</v>
      </c>
      <c r="I16">
        <v>0.01</v>
      </c>
      <c r="J16" t="s">
        <v>35</v>
      </c>
    </row>
    <row r="17" spans="1:10">
      <c r="A17">
        <v>90016</v>
      </c>
      <c r="B17">
        <v>30002</v>
      </c>
      <c r="C17">
        <v>200</v>
      </c>
      <c r="D17" t="s">
        <v>155</v>
      </c>
      <c r="E17">
        <v>1000</v>
      </c>
      <c r="F17">
        <v>42034</v>
      </c>
      <c r="G17">
        <v>42765</v>
      </c>
      <c r="H17">
        <v>0.02</v>
      </c>
      <c r="I17">
        <v>0.01</v>
      </c>
      <c r="J17" t="s">
        <v>35</v>
      </c>
    </row>
    <row r="18" spans="1:10">
      <c r="A18">
        <v>90017</v>
      </c>
      <c r="B18">
        <v>30001</v>
      </c>
      <c r="C18">
        <v>201</v>
      </c>
      <c r="D18" t="s">
        <v>154</v>
      </c>
      <c r="E18">
        <v>1000</v>
      </c>
      <c r="F18">
        <v>42124</v>
      </c>
      <c r="G18">
        <v>42490</v>
      </c>
      <c r="H18">
        <v>0.02</v>
      </c>
      <c r="I18">
        <v>0.01</v>
      </c>
      <c r="J18" t="s">
        <v>35</v>
      </c>
    </row>
    <row r="19" spans="1:10">
      <c r="A19">
        <v>90018</v>
      </c>
      <c r="B19">
        <v>30002</v>
      </c>
      <c r="C19">
        <v>201</v>
      </c>
      <c r="D19" t="s">
        <v>155</v>
      </c>
      <c r="E19">
        <v>1000</v>
      </c>
      <c r="F19">
        <v>42124</v>
      </c>
      <c r="G19">
        <v>43951</v>
      </c>
      <c r="H19">
        <v>0.02</v>
      </c>
      <c r="I19">
        <v>0.01</v>
      </c>
    </row>
    <row r="20" spans="1:10">
      <c r="A20">
        <v>90019</v>
      </c>
      <c r="B20">
        <v>30003</v>
      </c>
      <c r="C20">
        <v>202</v>
      </c>
      <c r="D20" t="s">
        <v>154</v>
      </c>
      <c r="E20">
        <v>1000</v>
      </c>
      <c r="F20">
        <v>42124</v>
      </c>
      <c r="G20">
        <v>45046</v>
      </c>
      <c r="H20">
        <v>0.02</v>
      </c>
      <c r="I20">
        <v>0.01</v>
      </c>
    </row>
    <row r="21" spans="1:10">
      <c r="A21">
        <v>90020</v>
      </c>
      <c r="B21">
        <v>30001</v>
      </c>
      <c r="C21">
        <v>202</v>
      </c>
      <c r="D21" t="s">
        <v>155</v>
      </c>
      <c r="E21">
        <v>1000</v>
      </c>
      <c r="F21">
        <v>42124</v>
      </c>
      <c r="G21">
        <v>45777</v>
      </c>
      <c r="H21">
        <v>0.02</v>
      </c>
      <c r="I21">
        <v>0.01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/>
  </sheetViews>
  <sheetFormatPr defaultRowHeight="13.2"/>
  <cols>
    <col min="1" max="1" width="11.6640625" bestFit="1" customWidth="1"/>
    <col min="2" max="2" width="11.21875" bestFit="1" customWidth="1"/>
    <col min="3" max="3" width="16.6640625" bestFit="1" customWidth="1"/>
    <col min="4" max="4" width="9.88671875" bestFit="1" customWidth="1"/>
    <col min="5" max="5" width="6.88671875" bestFit="1" customWidth="1"/>
    <col min="6" max="6" width="9.77734375" bestFit="1" customWidth="1"/>
    <col min="7" max="7" width="6.88671875" bestFit="1" customWidth="1"/>
    <col min="8" max="8" width="9.77734375" bestFit="1" customWidth="1"/>
    <col min="9" max="9" width="11.88671875" bestFit="1" customWidth="1"/>
    <col min="10" max="10" width="11.33203125" bestFit="1" customWidth="1"/>
    <col min="11" max="11" width="4.33203125" bestFit="1" customWidth="1"/>
  </cols>
  <sheetData>
    <row r="1" spans="1:11">
      <c r="A1" t="s">
        <v>23</v>
      </c>
      <c r="B1" t="s">
        <v>157</v>
      </c>
      <c r="C1" t="s">
        <v>158</v>
      </c>
      <c r="D1" t="s">
        <v>30</v>
      </c>
      <c r="E1" t="s">
        <v>159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  <c r="K1" t="s">
        <v>165</v>
      </c>
    </row>
    <row r="2" spans="1:11">
      <c r="A2">
        <v>80001</v>
      </c>
      <c r="B2">
        <v>41912</v>
      </c>
      <c r="C2">
        <v>42124</v>
      </c>
      <c r="D2">
        <v>100</v>
      </c>
      <c r="E2" t="s">
        <v>154</v>
      </c>
      <c r="F2">
        <v>1000</v>
      </c>
      <c r="G2" t="s">
        <v>33</v>
      </c>
      <c r="H2">
        <v>100000</v>
      </c>
      <c r="I2">
        <v>10007</v>
      </c>
      <c r="J2" t="s">
        <v>166</v>
      </c>
      <c r="K2" t="s">
        <v>167</v>
      </c>
    </row>
    <row r="3" spans="1:11">
      <c r="A3">
        <v>80002</v>
      </c>
      <c r="B3">
        <v>42003</v>
      </c>
      <c r="C3">
        <v>42185</v>
      </c>
      <c r="D3">
        <v>100</v>
      </c>
      <c r="E3" t="s">
        <v>33</v>
      </c>
      <c r="F3">
        <v>100000</v>
      </c>
      <c r="G3" t="s">
        <v>154</v>
      </c>
      <c r="H3">
        <v>1000</v>
      </c>
      <c r="I3">
        <v>10008</v>
      </c>
      <c r="J3" t="s">
        <v>166</v>
      </c>
      <c r="K3" t="s">
        <v>168</v>
      </c>
    </row>
    <row r="4" spans="1:11">
      <c r="A4">
        <v>80003</v>
      </c>
      <c r="B4">
        <v>42032</v>
      </c>
      <c r="C4">
        <v>42277</v>
      </c>
      <c r="D4">
        <v>150</v>
      </c>
      <c r="E4" t="s">
        <v>155</v>
      </c>
      <c r="F4">
        <v>1000</v>
      </c>
      <c r="G4" t="s">
        <v>33</v>
      </c>
      <c r="H4">
        <v>150000</v>
      </c>
      <c r="I4">
        <v>10009</v>
      </c>
      <c r="J4" t="s">
        <v>169</v>
      </c>
      <c r="K4" t="s">
        <v>168</v>
      </c>
    </row>
    <row r="5" spans="1:11">
      <c r="A5">
        <v>80004</v>
      </c>
      <c r="B5">
        <v>42063</v>
      </c>
      <c r="C5">
        <v>42399</v>
      </c>
      <c r="D5">
        <v>150</v>
      </c>
      <c r="E5" t="s">
        <v>33</v>
      </c>
      <c r="F5">
        <v>150000</v>
      </c>
      <c r="G5" t="s">
        <v>155</v>
      </c>
      <c r="H5">
        <v>1000</v>
      </c>
      <c r="I5">
        <v>10010</v>
      </c>
      <c r="J5" t="s">
        <v>169</v>
      </c>
      <c r="K5" t="s">
        <v>168</v>
      </c>
    </row>
    <row r="6" spans="1:11">
      <c r="A6">
        <v>80005</v>
      </c>
      <c r="B6">
        <v>42093</v>
      </c>
      <c r="C6">
        <v>42095</v>
      </c>
      <c r="D6">
        <v>100</v>
      </c>
      <c r="E6" t="s">
        <v>154</v>
      </c>
      <c r="F6">
        <v>1000</v>
      </c>
      <c r="G6" t="s">
        <v>33</v>
      </c>
      <c r="H6">
        <v>100000</v>
      </c>
      <c r="I6">
        <v>30001</v>
      </c>
      <c r="J6" t="s">
        <v>169</v>
      </c>
      <c r="K6" t="s">
        <v>168</v>
      </c>
    </row>
    <row r="7" spans="1:11">
      <c r="A7">
        <v>80006</v>
      </c>
      <c r="B7">
        <v>42093</v>
      </c>
      <c r="C7">
        <v>42095</v>
      </c>
      <c r="D7">
        <v>100</v>
      </c>
      <c r="E7" t="s">
        <v>33</v>
      </c>
      <c r="F7">
        <v>100000</v>
      </c>
      <c r="G7" t="s">
        <v>154</v>
      </c>
      <c r="H7">
        <v>1000</v>
      </c>
      <c r="I7">
        <v>30002</v>
      </c>
      <c r="J7" t="s">
        <v>169</v>
      </c>
      <c r="K7" t="s">
        <v>168</v>
      </c>
    </row>
    <row r="8" spans="1:11">
      <c r="A8">
        <v>80007</v>
      </c>
      <c r="B8">
        <v>42094</v>
      </c>
      <c r="C8">
        <v>42096</v>
      </c>
      <c r="D8">
        <v>150</v>
      </c>
      <c r="E8" t="s">
        <v>155</v>
      </c>
      <c r="F8">
        <v>1000</v>
      </c>
      <c r="G8" t="s">
        <v>33</v>
      </c>
      <c r="H8">
        <v>150000</v>
      </c>
      <c r="I8">
        <v>30003</v>
      </c>
      <c r="J8" t="s">
        <v>166</v>
      </c>
      <c r="K8" t="s">
        <v>168</v>
      </c>
    </row>
    <row r="9" spans="1:11">
      <c r="A9">
        <v>80008</v>
      </c>
      <c r="B9">
        <v>42094</v>
      </c>
      <c r="C9">
        <v>42096</v>
      </c>
      <c r="D9">
        <v>150</v>
      </c>
      <c r="E9" t="s">
        <v>33</v>
      </c>
      <c r="F9">
        <v>150000</v>
      </c>
      <c r="G9" t="s">
        <v>155</v>
      </c>
      <c r="H9">
        <v>1000</v>
      </c>
      <c r="I9">
        <v>30004</v>
      </c>
      <c r="J9" t="s">
        <v>166</v>
      </c>
      <c r="K9" t="s">
        <v>168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6"/>
  <sheetViews>
    <sheetView workbookViewId="0"/>
  </sheetViews>
  <sheetFormatPr defaultColWidth="46.88671875" defaultRowHeight="13.2"/>
  <cols>
    <col min="1" max="1" width="9" bestFit="1" customWidth="1"/>
    <col min="2" max="2" width="15.21875" bestFit="1" customWidth="1"/>
    <col min="3" max="3" width="19.109375" bestFit="1" customWidth="1"/>
    <col min="4" max="4" width="15.21875" bestFit="1" customWidth="1"/>
    <col min="5" max="5" width="5.77734375" bestFit="1" customWidth="1"/>
    <col min="6" max="6" width="11.6640625" bestFit="1" customWidth="1"/>
  </cols>
  <sheetData>
    <row r="1" spans="1:6">
      <c r="A1" t="s">
        <v>25</v>
      </c>
      <c r="B1" t="s">
        <v>170</v>
      </c>
      <c r="C1" t="s">
        <v>24</v>
      </c>
      <c r="D1" t="s">
        <v>171</v>
      </c>
      <c r="E1" t="s">
        <v>26</v>
      </c>
      <c r="F1" t="s">
        <v>27</v>
      </c>
    </row>
    <row r="2" spans="1:6">
      <c r="A2">
        <v>100</v>
      </c>
      <c r="B2" t="s">
        <v>172</v>
      </c>
      <c r="C2">
        <v>10000</v>
      </c>
      <c r="D2" t="s">
        <v>173</v>
      </c>
      <c r="E2" t="s">
        <v>33</v>
      </c>
      <c r="F2">
        <v>1000000000</v>
      </c>
    </row>
    <row r="3" spans="1:6">
      <c r="A3">
        <v>100</v>
      </c>
      <c r="B3" t="s">
        <v>172</v>
      </c>
      <c r="C3">
        <v>10001</v>
      </c>
      <c r="D3" t="s">
        <v>174</v>
      </c>
      <c r="E3" t="s">
        <v>154</v>
      </c>
      <c r="F3">
        <v>1000000000</v>
      </c>
    </row>
    <row r="4" spans="1:6">
      <c r="A4">
        <v>100</v>
      </c>
      <c r="B4" t="s">
        <v>172</v>
      </c>
      <c r="C4">
        <v>10002</v>
      </c>
      <c r="D4" t="s">
        <v>175</v>
      </c>
      <c r="E4" t="s">
        <v>33</v>
      </c>
      <c r="F4">
        <v>1000000000</v>
      </c>
    </row>
    <row r="5" spans="1:6">
      <c r="A5">
        <v>100</v>
      </c>
      <c r="B5" t="s">
        <v>172</v>
      </c>
      <c r="C5">
        <v>10002</v>
      </c>
      <c r="D5" t="s">
        <v>175</v>
      </c>
      <c r="E5" t="s">
        <v>33</v>
      </c>
      <c r="F5">
        <v>1000000000</v>
      </c>
    </row>
    <row r="6" spans="1:6">
      <c r="A6">
        <v>101</v>
      </c>
      <c r="B6" t="s">
        <v>176</v>
      </c>
      <c r="C6">
        <v>10011</v>
      </c>
      <c r="D6" t="s">
        <v>177</v>
      </c>
      <c r="E6" t="s">
        <v>155</v>
      </c>
      <c r="F6">
        <v>1000000000</v>
      </c>
    </row>
    <row r="7" spans="1:6">
      <c r="A7">
        <v>101</v>
      </c>
      <c r="B7" t="s">
        <v>176</v>
      </c>
      <c r="C7">
        <v>10011</v>
      </c>
      <c r="D7" t="s">
        <v>177</v>
      </c>
      <c r="E7" t="s">
        <v>155</v>
      </c>
      <c r="F7">
        <v>1000000000</v>
      </c>
    </row>
    <row r="8" spans="1:6">
      <c r="A8">
        <v>101</v>
      </c>
      <c r="B8" t="s">
        <v>176</v>
      </c>
      <c r="C8">
        <v>10012</v>
      </c>
      <c r="D8" t="s">
        <v>178</v>
      </c>
      <c r="E8" t="s">
        <v>154</v>
      </c>
      <c r="F8">
        <v>1000000000</v>
      </c>
    </row>
    <row r="9" spans="1:6">
      <c r="A9">
        <v>101</v>
      </c>
      <c r="B9" t="s">
        <v>176</v>
      </c>
      <c r="C9">
        <v>10012</v>
      </c>
      <c r="D9" t="s">
        <v>178</v>
      </c>
      <c r="E9" t="s">
        <v>154</v>
      </c>
      <c r="F9">
        <v>1000000000</v>
      </c>
    </row>
    <row r="10" spans="1:6">
      <c r="A10">
        <v>102</v>
      </c>
      <c r="B10" t="s">
        <v>179</v>
      </c>
      <c r="C10">
        <v>10021</v>
      </c>
      <c r="D10" t="s">
        <v>180</v>
      </c>
      <c r="E10" t="s">
        <v>33</v>
      </c>
      <c r="F10">
        <v>1000000000</v>
      </c>
    </row>
    <row r="11" spans="1:6">
      <c r="A11">
        <v>102</v>
      </c>
      <c r="B11" t="s">
        <v>179</v>
      </c>
      <c r="C11">
        <v>10022</v>
      </c>
      <c r="D11" t="s">
        <v>181</v>
      </c>
      <c r="E11" t="s">
        <v>182</v>
      </c>
      <c r="F11">
        <v>1000000000</v>
      </c>
    </row>
    <row r="12" spans="1:6">
      <c r="A12">
        <v>102</v>
      </c>
      <c r="B12" t="s">
        <v>179</v>
      </c>
      <c r="C12">
        <v>10023</v>
      </c>
      <c r="D12" t="s">
        <v>183</v>
      </c>
      <c r="E12" t="s">
        <v>33</v>
      </c>
      <c r="F12">
        <v>1000000000</v>
      </c>
    </row>
    <row r="13" spans="1:6">
      <c r="A13">
        <v>102</v>
      </c>
      <c r="B13" t="s">
        <v>179</v>
      </c>
      <c r="C13">
        <v>10024</v>
      </c>
      <c r="D13" t="s">
        <v>184</v>
      </c>
      <c r="E13" t="s">
        <v>154</v>
      </c>
      <c r="F13">
        <v>1000000000</v>
      </c>
    </row>
    <row r="14" spans="1:6">
      <c r="A14">
        <v>200</v>
      </c>
      <c r="B14" t="s">
        <v>185</v>
      </c>
      <c r="C14">
        <v>10021</v>
      </c>
      <c r="D14" t="s">
        <v>180</v>
      </c>
      <c r="E14" t="s">
        <v>33</v>
      </c>
      <c r="F14">
        <v>500000000</v>
      </c>
    </row>
    <row r="15" spans="1:6">
      <c r="A15">
        <v>200</v>
      </c>
      <c r="B15" t="s">
        <v>185</v>
      </c>
      <c r="C15">
        <v>10022</v>
      </c>
      <c r="D15" t="s">
        <v>181</v>
      </c>
      <c r="E15" t="s">
        <v>33</v>
      </c>
      <c r="F15">
        <v>500000000</v>
      </c>
    </row>
    <row r="16" spans="1:6">
      <c r="A16">
        <v>200</v>
      </c>
      <c r="B16" t="s">
        <v>185</v>
      </c>
      <c r="C16">
        <v>10023</v>
      </c>
      <c r="D16" t="s">
        <v>183</v>
      </c>
      <c r="E16" t="s">
        <v>154</v>
      </c>
      <c r="F16">
        <v>500000000</v>
      </c>
    </row>
    <row r="17" spans="1:6">
      <c r="A17">
        <v>200</v>
      </c>
      <c r="B17" t="s">
        <v>185</v>
      </c>
      <c r="C17">
        <v>10024</v>
      </c>
      <c r="D17" t="s">
        <v>184</v>
      </c>
      <c r="E17" t="s">
        <v>155</v>
      </c>
      <c r="F17">
        <v>500000000</v>
      </c>
    </row>
    <row r="18" spans="1:6">
      <c r="A18">
        <v>201</v>
      </c>
      <c r="B18" t="s">
        <v>176</v>
      </c>
      <c r="C18">
        <v>10021</v>
      </c>
      <c r="D18" t="s">
        <v>180</v>
      </c>
      <c r="E18" t="s">
        <v>33</v>
      </c>
      <c r="F18">
        <v>500000000</v>
      </c>
    </row>
    <row r="19" spans="1:6">
      <c r="A19">
        <v>201</v>
      </c>
      <c r="B19" t="s">
        <v>176</v>
      </c>
      <c r="C19">
        <v>10022</v>
      </c>
      <c r="D19" t="s">
        <v>181</v>
      </c>
      <c r="E19" t="s">
        <v>33</v>
      </c>
      <c r="F19">
        <v>500000000</v>
      </c>
    </row>
    <row r="20" spans="1:6">
      <c r="A20">
        <v>201</v>
      </c>
      <c r="B20" t="s">
        <v>176</v>
      </c>
      <c r="C20">
        <v>10023</v>
      </c>
      <c r="D20" t="s">
        <v>183</v>
      </c>
      <c r="E20" t="s">
        <v>154</v>
      </c>
      <c r="F20">
        <v>1000000000</v>
      </c>
    </row>
    <row r="21" spans="1:6">
      <c r="A21">
        <v>201</v>
      </c>
      <c r="B21" t="s">
        <v>176</v>
      </c>
      <c r="C21">
        <v>10024</v>
      </c>
      <c r="D21" t="s">
        <v>184</v>
      </c>
      <c r="E21" t="s">
        <v>155</v>
      </c>
      <c r="F21">
        <v>1000000000</v>
      </c>
    </row>
    <row r="22" spans="1:6">
      <c r="A22">
        <v>202</v>
      </c>
      <c r="B22" t="s">
        <v>186</v>
      </c>
      <c r="C22">
        <v>10002</v>
      </c>
      <c r="D22" t="s">
        <v>175</v>
      </c>
      <c r="E22" t="s">
        <v>33</v>
      </c>
      <c r="F22">
        <v>1000000000</v>
      </c>
    </row>
    <row r="23" spans="1:6">
      <c r="A23">
        <v>202</v>
      </c>
      <c r="B23" t="s">
        <v>186</v>
      </c>
      <c r="C23">
        <v>10002</v>
      </c>
      <c r="D23" t="s">
        <v>175</v>
      </c>
      <c r="E23" t="s">
        <v>154</v>
      </c>
      <c r="F23">
        <v>1000000000</v>
      </c>
    </row>
    <row r="24" spans="1:6">
      <c r="A24">
        <v>202</v>
      </c>
      <c r="B24" t="s">
        <v>186</v>
      </c>
      <c r="C24">
        <v>10011</v>
      </c>
      <c r="D24" t="s">
        <v>177</v>
      </c>
      <c r="E24" t="s">
        <v>154</v>
      </c>
      <c r="F24">
        <v>1000000000</v>
      </c>
    </row>
    <row r="25" spans="1:6">
      <c r="A25">
        <v>202</v>
      </c>
      <c r="B25" t="s">
        <v>186</v>
      </c>
      <c r="C25">
        <v>10011</v>
      </c>
      <c r="D25" t="s">
        <v>177</v>
      </c>
      <c r="E25" t="s">
        <v>155</v>
      </c>
      <c r="F25">
        <v>1000000000</v>
      </c>
    </row>
    <row r="26" spans="1:6">
      <c r="A26">
        <v>500</v>
      </c>
      <c r="B26" t="s">
        <v>187</v>
      </c>
      <c r="E26" t="s">
        <v>33</v>
      </c>
      <c r="F26">
        <v>3000000000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4"/>
  <sheetViews>
    <sheetView workbookViewId="0"/>
  </sheetViews>
  <sheetFormatPr defaultRowHeight="13.2"/>
  <cols>
    <col min="1" max="1" width="5.77734375" bestFit="1" customWidth="1"/>
    <col min="2" max="2" width="5.88671875" bestFit="1" customWidth="1"/>
  </cols>
  <sheetData>
    <row r="1" spans="1:2">
      <c r="A1" t="s">
        <v>26</v>
      </c>
      <c r="B1" t="s">
        <v>156</v>
      </c>
    </row>
    <row r="2" spans="1:2">
      <c r="A2" t="s">
        <v>33</v>
      </c>
      <c r="B2">
        <v>1</v>
      </c>
    </row>
    <row r="3" spans="1:2">
      <c r="A3" t="s">
        <v>154</v>
      </c>
      <c r="B3">
        <v>100</v>
      </c>
    </row>
    <row r="4" spans="1:2">
      <c r="A4" t="s">
        <v>155</v>
      </c>
      <c r="B4">
        <v>200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selection activeCell="E25" sqref="E25"/>
    </sheetView>
  </sheetViews>
  <sheetFormatPr defaultRowHeight="13.2"/>
  <cols>
    <col min="1" max="1" width="11.6640625" bestFit="1" customWidth="1"/>
    <col min="2" max="2" width="19.109375" bestFit="1" customWidth="1"/>
    <col min="4" max="4" width="5.77734375" customWidth="1"/>
    <col min="5" max="5" width="8.6640625" customWidth="1"/>
    <col min="6" max="6" width="34.44140625" bestFit="1" customWidth="1"/>
    <col min="7" max="7" width="13.77734375" bestFit="1" customWidth="1"/>
    <col min="8" max="9" width="9.88671875" bestFit="1" customWidth="1"/>
    <col min="10" max="10" width="6.44140625" customWidth="1"/>
  </cols>
  <sheetData>
    <row r="1" spans="1:10">
      <c r="A1" s="4" t="s">
        <v>23</v>
      </c>
      <c r="B1" s="4" t="s">
        <v>24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</row>
    <row r="2" spans="1:10">
      <c r="A2">
        <v>90001</v>
      </c>
      <c r="B2">
        <v>10001</v>
      </c>
      <c r="C2">
        <v>101</v>
      </c>
      <c r="D2" t="s">
        <v>48</v>
      </c>
      <c r="E2" s="7">
        <v>1000</v>
      </c>
      <c r="F2" s="8" t="s">
        <v>49</v>
      </c>
      <c r="G2" s="3">
        <v>42124</v>
      </c>
      <c r="H2" s="6">
        <v>0.02</v>
      </c>
      <c r="I2" s="6">
        <v>0.01</v>
      </c>
      <c r="J2" t="s">
        <v>50</v>
      </c>
    </row>
    <row r="3" spans="1:10">
      <c r="A3">
        <v>90002</v>
      </c>
      <c r="B3">
        <v>10002</v>
      </c>
      <c r="C3">
        <v>101</v>
      </c>
      <c r="D3" t="s">
        <v>48</v>
      </c>
      <c r="E3" s="7">
        <v>1000</v>
      </c>
      <c r="F3" s="8" t="s">
        <v>130</v>
      </c>
      <c r="G3" s="3">
        <v>42154</v>
      </c>
      <c r="H3" s="6">
        <v>0.02</v>
      </c>
      <c r="I3" s="6">
        <v>0.01</v>
      </c>
      <c r="J3" t="s">
        <v>52</v>
      </c>
    </row>
    <row r="4" spans="1:10">
      <c r="A4">
        <v>90003</v>
      </c>
      <c r="B4">
        <v>10003</v>
      </c>
      <c r="C4">
        <v>101</v>
      </c>
      <c r="D4" t="s">
        <v>48</v>
      </c>
      <c r="E4" s="7">
        <v>1000</v>
      </c>
      <c r="F4" s="8" t="s">
        <v>129</v>
      </c>
      <c r="G4" s="3">
        <v>42185</v>
      </c>
      <c r="H4" s="6">
        <v>0.02</v>
      </c>
      <c r="I4" s="6">
        <v>0.01</v>
      </c>
      <c r="J4" t="s">
        <v>52</v>
      </c>
    </row>
    <row r="5" spans="1:10">
      <c r="A5">
        <v>90004</v>
      </c>
      <c r="B5">
        <v>10004</v>
      </c>
      <c r="C5">
        <v>102</v>
      </c>
      <c r="D5" t="s">
        <v>48</v>
      </c>
      <c r="E5" s="7">
        <v>1000</v>
      </c>
      <c r="F5" s="8" t="s">
        <v>47</v>
      </c>
      <c r="G5" s="3">
        <v>42277</v>
      </c>
      <c r="H5" s="6">
        <v>0.02</v>
      </c>
      <c r="I5" s="6">
        <v>0.01</v>
      </c>
      <c r="J5" t="s">
        <v>52</v>
      </c>
    </row>
    <row r="6" spans="1:10">
      <c r="A6">
        <v>90005</v>
      </c>
      <c r="B6">
        <v>10004</v>
      </c>
      <c r="C6">
        <v>102</v>
      </c>
      <c r="D6" t="s">
        <v>48</v>
      </c>
      <c r="E6" s="7">
        <v>1000</v>
      </c>
      <c r="F6" s="8" t="s">
        <v>47</v>
      </c>
      <c r="G6" s="3">
        <v>42368</v>
      </c>
      <c r="H6" s="6">
        <v>0.02</v>
      </c>
      <c r="I6" s="6">
        <v>0.01</v>
      </c>
      <c r="J6" t="s">
        <v>52</v>
      </c>
    </row>
    <row r="7" spans="1:10">
      <c r="A7">
        <v>90006</v>
      </c>
      <c r="B7">
        <v>10006</v>
      </c>
      <c r="C7">
        <v>200</v>
      </c>
      <c r="D7" t="s">
        <v>48</v>
      </c>
      <c r="E7" s="7">
        <v>1000</v>
      </c>
      <c r="F7" s="8" t="s">
        <v>47</v>
      </c>
      <c r="G7" s="3">
        <v>42734</v>
      </c>
      <c r="H7" s="6">
        <v>0.02</v>
      </c>
      <c r="I7" s="6">
        <v>0.01</v>
      </c>
      <c r="J7" t="s">
        <v>52</v>
      </c>
    </row>
    <row r="8" spans="1:10">
      <c r="A8">
        <v>90007</v>
      </c>
      <c r="B8">
        <v>10007</v>
      </c>
      <c r="C8">
        <v>201</v>
      </c>
      <c r="D8" t="s">
        <v>48</v>
      </c>
      <c r="E8" s="7">
        <v>1000</v>
      </c>
      <c r="F8" s="8" t="s">
        <v>47</v>
      </c>
      <c r="G8" s="3">
        <v>42459</v>
      </c>
      <c r="H8" s="6">
        <v>0.02</v>
      </c>
      <c r="I8" s="6">
        <v>0.01</v>
      </c>
      <c r="J8" t="s">
        <v>52</v>
      </c>
    </row>
    <row r="9" spans="1:10">
      <c r="A9">
        <v>90008</v>
      </c>
      <c r="B9">
        <v>10008</v>
      </c>
      <c r="C9">
        <v>201</v>
      </c>
      <c r="D9" t="s">
        <v>48</v>
      </c>
      <c r="E9" s="7">
        <v>1000</v>
      </c>
      <c r="F9" s="8" t="s">
        <v>47</v>
      </c>
      <c r="G9" s="3">
        <v>43920</v>
      </c>
      <c r="H9" s="6">
        <v>0.02</v>
      </c>
      <c r="I9" s="6">
        <v>0.01</v>
      </c>
      <c r="J9" t="s">
        <v>52</v>
      </c>
    </row>
    <row r="10" spans="1:10">
      <c r="A10">
        <v>90009</v>
      </c>
      <c r="B10">
        <v>10009</v>
      </c>
      <c r="C10">
        <v>202</v>
      </c>
      <c r="D10" t="s">
        <v>48</v>
      </c>
      <c r="E10" s="7">
        <v>1000</v>
      </c>
      <c r="F10" s="8" t="s">
        <v>47</v>
      </c>
      <c r="G10" s="3">
        <v>45015</v>
      </c>
      <c r="H10" s="6">
        <v>0.02</v>
      </c>
      <c r="I10" s="6">
        <v>0.01</v>
      </c>
      <c r="J10" t="s">
        <v>52</v>
      </c>
    </row>
    <row r="11" spans="1:10">
      <c r="A11">
        <v>90010</v>
      </c>
      <c r="B11">
        <v>10010</v>
      </c>
      <c r="C11">
        <v>202</v>
      </c>
      <c r="D11" t="s">
        <v>48</v>
      </c>
      <c r="E11" s="7">
        <v>1000</v>
      </c>
      <c r="F11" s="8" t="s">
        <v>131</v>
      </c>
      <c r="G11" s="3">
        <v>45746</v>
      </c>
      <c r="H11" s="6">
        <v>0.02</v>
      </c>
      <c r="I11" s="6">
        <v>0.01</v>
      </c>
      <c r="J11" t="s">
        <v>52</v>
      </c>
    </row>
    <row r="12" spans="1:10">
      <c r="A12">
        <v>90011</v>
      </c>
      <c r="B12">
        <v>10001</v>
      </c>
      <c r="C12">
        <v>101</v>
      </c>
      <c r="D12" t="s">
        <v>53</v>
      </c>
      <c r="E12" s="7">
        <v>1000</v>
      </c>
      <c r="F12" s="8" t="s">
        <v>49</v>
      </c>
      <c r="G12" s="3">
        <v>42124</v>
      </c>
      <c r="H12" s="6">
        <v>0.02</v>
      </c>
      <c r="I12" s="6">
        <v>0.01</v>
      </c>
      <c r="J12" t="s">
        <v>52</v>
      </c>
    </row>
    <row r="13" spans="1:10">
      <c r="A13">
        <v>90012</v>
      </c>
      <c r="B13">
        <v>10002</v>
      </c>
      <c r="C13">
        <v>101</v>
      </c>
      <c r="D13" t="s">
        <v>53</v>
      </c>
      <c r="E13" s="7">
        <v>1000</v>
      </c>
      <c r="F13" s="8" t="s">
        <v>51</v>
      </c>
      <c r="G13" s="3">
        <v>42154</v>
      </c>
      <c r="H13" s="6">
        <v>0.02</v>
      </c>
      <c r="I13" s="6">
        <v>0.01</v>
      </c>
      <c r="J13" t="s">
        <v>52</v>
      </c>
    </row>
    <row r="14" spans="1:10">
      <c r="A14">
        <v>90013</v>
      </c>
      <c r="B14">
        <v>10003</v>
      </c>
      <c r="C14">
        <v>101</v>
      </c>
      <c r="D14" t="s">
        <v>54</v>
      </c>
      <c r="E14" s="7">
        <v>1000</v>
      </c>
      <c r="F14" s="8" t="s">
        <v>55</v>
      </c>
      <c r="G14" s="3">
        <v>42215</v>
      </c>
      <c r="H14" s="6">
        <v>0.02</v>
      </c>
      <c r="I14" s="6">
        <v>0.01</v>
      </c>
      <c r="J14" t="s">
        <v>52</v>
      </c>
    </row>
    <row r="15" spans="1:10">
      <c r="A15">
        <v>90014</v>
      </c>
      <c r="B15">
        <v>10004</v>
      </c>
      <c r="C15">
        <v>102</v>
      </c>
      <c r="D15" t="s">
        <v>53</v>
      </c>
      <c r="E15" s="7">
        <v>1000</v>
      </c>
      <c r="F15" s="8" t="s">
        <v>56</v>
      </c>
      <c r="G15" s="3">
        <v>42307</v>
      </c>
      <c r="H15" s="6">
        <v>0.02</v>
      </c>
      <c r="I15" s="6">
        <v>0.01</v>
      </c>
      <c r="J15" t="s">
        <v>52</v>
      </c>
    </row>
    <row r="16" spans="1:10">
      <c r="A16">
        <v>90015</v>
      </c>
      <c r="B16">
        <v>10004</v>
      </c>
      <c r="C16">
        <v>102</v>
      </c>
      <c r="D16" t="s">
        <v>54</v>
      </c>
      <c r="E16" s="7">
        <v>1000</v>
      </c>
      <c r="F16" s="8" t="s">
        <v>57</v>
      </c>
      <c r="G16" s="3">
        <v>42399</v>
      </c>
      <c r="H16" s="6">
        <v>0.02</v>
      </c>
      <c r="I16" s="6">
        <v>0.01</v>
      </c>
      <c r="J16" t="s">
        <v>52</v>
      </c>
    </row>
    <row r="17" spans="1:10">
      <c r="A17">
        <v>90016</v>
      </c>
      <c r="B17">
        <v>10021</v>
      </c>
      <c r="C17">
        <v>200</v>
      </c>
      <c r="D17" t="s">
        <v>54</v>
      </c>
      <c r="E17" s="7">
        <v>1000</v>
      </c>
      <c r="F17" s="8" t="s">
        <v>58</v>
      </c>
      <c r="G17" s="3">
        <v>42765</v>
      </c>
      <c r="H17" s="6">
        <v>0.02</v>
      </c>
      <c r="I17" s="6">
        <v>0.01</v>
      </c>
      <c r="J17" t="s">
        <v>52</v>
      </c>
    </row>
    <row r="18" spans="1:10">
      <c r="A18">
        <v>90017</v>
      </c>
      <c r="B18">
        <v>10022</v>
      </c>
      <c r="C18">
        <v>201</v>
      </c>
      <c r="D18" t="s">
        <v>53</v>
      </c>
      <c r="E18" s="7">
        <v>1000</v>
      </c>
      <c r="F18" s="8" t="s">
        <v>47</v>
      </c>
      <c r="G18" s="3">
        <v>42490</v>
      </c>
      <c r="H18" s="6">
        <v>0.02</v>
      </c>
      <c r="I18" s="6">
        <v>0.01</v>
      </c>
      <c r="J18" t="s">
        <v>52</v>
      </c>
    </row>
    <row r="19" spans="1:10">
      <c r="A19">
        <v>90018</v>
      </c>
      <c r="B19">
        <v>10002</v>
      </c>
      <c r="C19">
        <v>201</v>
      </c>
      <c r="D19" t="s">
        <v>54</v>
      </c>
      <c r="E19" s="7">
        <v>1000</v>
      </c>
      <c r="F19" s="8" t="s">
        <v>47</v>
      </c>
      <c r="G19" s="3">
        <v>43951</v>
      </c>
      <c r="H19" s="6">
        <v>0.02</v>
      </c>
      <c r="I19" s="6">
        <v>0.01</v>
      </c>
      <c r="J19" t="s">
        <v>52</v>
      </c>
    </row>
    <row r="20" spans="1:10">
      <c r="A20">
        <v>90019</v>
      </c>
      <c r="B20">
        <v>10003</v>
      </c>
      <c r="C20">
        <v>202</v>
      </c>
      <c r="D20" t="s">
        <v>53</v>
      </c>
      <c r="E20" s="7">
        <v>1000</v>
      </c>
      <c r="F20" s="8" t="s">
        <v>47</v>
      </c>
      <c r="G20" s="3">
        <v>45046</v>
      </c>
      <c r="H20" s="6">
        <v>0.02</v>
      </c>
      <c r="I20" s="6">
        <v>0.01</v>
      </c>
      <c r="J20" t="s">
        <v>52</v>
      </c>
    </row>
    <row r="21" spans="1:10">
      <c r="A21">
        <v>90020</v>
      </c>
      <c r="B21">
        <v>10004</v>
      </c>
      <c r="C21">
        <v>202</v>
      </c>
      <c r="D21" t="s">
        <v>54</v>
      </c>
      <c r="E21" s="7">
        <v>1000</v>
      </c>
      <c r="F21" s="8" t="s">
        <v>47</v>
      </c>
      <c r="G21" s="3">
        <v>45777</v>
      </c>
      <c r="H21" s="6">
        <v>0.02</v>
      </c>
      <c r="I21" s="6">
        <v>0.01</v>
      </c>
      <c r="J21" t="s">
        <v>52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12"/>
  <sheetViews>
    <sheetView workbookViewId="0">
      <selection activeCell="C5" sqref="C5"/>
    </sheetView>
  </sheetViews>
  <sheetFormatPr defaultRowHeight="13.2"/>
  <cols>
    <col min="2" max="2" width="11.6640625" customWidth="1"/>
    <col min="3" max="3" width="19.109375" bestFit="1" customWidth="1"/>
    <col min="5" max="5" width="5.77734375" bestFit="1" customWidth="1"/>
    <col min="6" max="6" width="8.6640625" bestFit="1" customWidth="1"/>
    <col min="7" max="7" width="9.109375" bestFit="1" customWidth="1"/>
    <col min="8" max="8" width="13.77734375" bestFit="1" customWidth="1"/>
    <col min="9" max="10" width="9.88671875" bestFit="1" customWidth="1"/>
    <col min="11" max="11" width="6.44140625" bestFit="1" customWidth="1"/>
  </cols>
  <sheetData>
    <row r="2" spans="2:11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</row>
    <row r="3" spans="2:11">
      <c r="B3">
        <v>90001</v>
      </c>
      <c r="C3">
        <v>10001</v>
      </c>
      <c r="D3">
        <v>100</v>
      </c>
      <c r="E3" t="s">
        <v>33</v>
      </c>
      <c r="F3">
        <v>1000</v>
      </c>
      <c r="G3">
        <v>42124</v>
      </c>
      <c r="H3">
        <v>42124</v>
      </c>
      <c r="I3">
        <v>0.02</v>
      </c>
      <c r="J3">
        <v>0.01</v>
      </c>
      <c r="K3" t="s">
        <v>34</v>
      </c>
    </row>
    <row r="4" spans="2:11">
      <c r="B4">
        <v>90002</v>
      </c>
      <c r="C4">
        <v>10002</v>
      </c>
      <c r="D4">
        <v>101</v>
      </c>
      <c r="E4" t="s">
        <v>33</v>
      </c>
      <c r="F4">
        <v>1000</v>
      </c>
      <c r="G4">
        <v>42154</v>
      </c>
      <c r="H4">
        <v>42154</v>
      </c>
      <c r="I4">
        <v>0.02</v>
      </c>
      <c r="J4">
        <v>0.01</v>
      </c>
      <c r="K4" t="s">
        <v>35</v>
      </c>
    </row>
    <row r="5" spans="2:11">
      <c r="B5">
        <v>90003</v>
      </c>
      <c r="C5">
        <v>10003</v>
      </c>
      <c r="D5">
        <v>101</v>
      </c>
      <c r="E5" t="s">
        <v>33</v>
      </c>
      <c r="F5">
        <v>1000</v>
      </c>
      <c r="G5">
        <v>42185</v>
      </c>
      <c r="H5">
        <v>42185</v>
      </c>
      <c r="I5">
        <v>0.02</v>
      </c>
      <c r="J5">
        <v>0.01</v>
      </c>
      <c r="K5" t="s">
        <v>35</v>
      </c>
    </row>
    <row r="6" spans="2:11">
      <c r="B6">
        <v>90004</v>
      </c>
      <c r="C6">
        <v>10004</v>
      </c>
      <c r="D6">
        <v>102</v>
      </c>
      <c r="E6" t="s">
        <v>33</v>
      </c>
      <c r="F6">
        <v>1000</v>
      </c>
      <c r="G6">
        <v>42277</v>
      </c>
      <c r="H6">
        <v>42277</v>
      </c>
      <c r="I6">
        <v>0.02</v>
      </c>
      <c r="J6">
        <v>0.01</v>
      </c>
      <c r="K6" t="s">
        <v>35</v>
      </c>
    </row>
    <row r="7" spans="2:11">
      <c r="B7">
        <v>90005</v>
      </c>
      <c r="C7">
        <v>10005</v>
      </c>
      <c r="D7">
        <v>102</v>
      </c>
      <c r="E7" t="s">
        <v>33</v>
      </c>
      <c r="F7">
        <v>1000</v>
      </c>
      <c r="G7">
        <v>42368</v>
      </c>
      <c r="H7">
        <v>42368</v>
      </c>
      <c r="I7">
        <v>0.02</v>
      </c>
      <c r="J7">
        <v>0.01</v>
      </c>
      <c r="K7" t="s">
        <v>35</v>
      </c>
    </row>
    <row r="8" spans="2:11">
      <c r="B8">
        <v>90006</v>
      </c>
      <c r="C8">
        <v>10006</v>
      </c>
      <c r="D8">
        <v>200</v>
      </c>
      <c r="E8" t="s">
        <v>33</v>
      </c>
      <c r="F8">
        <v>1000</v>
      </c>
      <c r="G8">
        <v>42368</v>
      </c>
      <c r="H8">
        <v>42734</v>
      </c>
      <c r="I8">
        <v>0.02</v>
      </c>
      <c r="J8">
        <v>0.01</v>
      </c>
      <c r="K8" t="s">
        <v>35</v>
      </c>
    </row>
    <row r="9" spans="2:11">
      <c r="B9">
        <v>90007</v>
      </c>
      <c r="C9">
        <v>10007</v>
      </c>
      <c r="D9">
        <v>201</v>
      </c>
      <c r="E9" t="s">
        <v>33</v>
      </c>
      <c r="F9">
        <v>1000</v>
      </c>
      <c r="G9">
        <v>42093</v>
      </c>
      <c r="H9">
        <v>42459</v>
      </c>
      <c r="I9">
        <v>0.02</v>
      </c>
      <c r="J9">
        <v>0.01</v>
      </c>
      <c r="K9" t="s">
        <v>35</v>
      </c>
    </row>
    <row r="10" spans="2:11">
      <c r="B10">
        <v>90008</v>
      </c>
      <c r="C10">
        <v>10008</v>
      </c>
      <c r="D10">
        <v>201</v>
      </c>
      <c r="E10" t="s">
        <v>33</v>
      </c>
      <c r="F10">
        <v>1000</v>
      </c>
      <c r="G10">
        <v>42093</v>
      </c>
      <c r="H10">
        <v>43920</v>
      </c>
      <c r="I10">
        <v>0.02</v>
      </c>
      <c r="J10">
        <v>0.01</v>
      </c>
      <c r="K10" t="s">
        <v>35</v>
      </c>
    </row>
    <row r="11" spans="2:11">
      <c r="B11">
        <v>90009</v>
      </c>
      <c r="C11">
        <v>10009</v>
      </c>
      <c r="D11">
        <v>202</v>
      </c>
      <c r="E11" t="s">
        <v>33</v>
      </c>
      <c r="F11">
        <v>1000</v>
      </c>
      <c r="G11">
        <v>42093</v>
      </c>
      <c r="H11">
        <v>45015</v>
      </c>
      <c r="I11">
        <v>0.02</v>
      </c>
      <c r="J11">
        <v>0.01</v>
      </c>
      <c r="K11" t="s">
        <v>35</v>
      </c>
    </row>
    <row r="12" spans="2:11">
      <c r="B12">
        <v>90010</v>
      </c>
      <c r="C12">
        <v>10010</v>
      </c>
      <c r="D12">
        <v>202</v>
      </c>
      <c r="E12" t="s">
        <v>33</v>
      </c>
      <c r="F12">
        <v>1000</v>
      </c>
      <c r="G12">
        <v>42093</v>
      </c>
      <c r="H12">
        <v>45746</v>
      </c>
      <c r="I12">
        <v>0.02</v>
      </c>
      <c r="J12">
        <v>0.01</v>
      </c>
      <c r="K12" t="s">
        <v>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9"/>
  <sheetViews>
    <sheetView workbookViewId="0">
      <selection activeCell="B1" sqref="B1"/>
    </sheetView>
  </sheetViews>
  <sheetFormatPr defaultRowHeight="13.2"/>
  <cols>
    <col min="2" max="2" width="16.21875" bestFit="1" customWidth="1"/>
  </cols>
  <sheetData>
    <row r="1" spans="2:5">
      <c r="B1" s="1"/>
      <c r="C1" s="1" t="s">
        <v>36</v>
      </c>
      <c r="D1" s="1" t="s">
        <v>37</v>
      </c>
      <c r="E1" s="1" t="s">
        <v>38</v>
      </c>
    </row>
    <row r="2" spans="2:5">
      <c r="B2" s="1" t="s">
        <v>39</v>
      </c>
      <c r="C2" s="1">
        <v>17518.3</v>
      </c>
      <c r="D2" s="1">
        <v>476.85</v>
      </c>
      <c r="E2" s="5">
        <v>2.8000000000000001E-2</v>
      </c>
    </row>
    <row r="3" spans="2:5">
      <c r="B3" s="1" t="s">
        <v>40</v>
      </c>
      <c r="C3" s="1">
        <v>17852.5</v>
      </c>
      <c r="D3" s="1">
        <v>792.5</v>
      </c>
      <c r="E3" s="5">
        <v>4.65E-2</v>
      </c>
    </row>
    <row r="4" spans="2:5">
      <c r="B4" s="1" t="s">
        <v>41</v>
      </c>
      <c r="C4" s="1">
        <v>16466.3</v>
      </c>
      <c r="D4" s="1">
        <v>396.66</v>
      </c>
      <c r="E4" s="5">
        <v>2.47E-2</v>
      </c>
    </row>
    <row r="5" spans="2:5">
      <c r="B5" s="1" t="s">
        <v>42</v>
      </c>
      <c r="C5" s="1">
        <v>9798.11</v>
      </c>
      <c r="D5" s="1">
        <v>158.52000000000001</v>
      </c>
      <c r="E5" s="5">
        <v>1.6400000000000001E-2</v>
      </c>
    </row>
    <row r="6" spans="2:5">
      <c r="B6" s="1" t="s">
        <v>43</v>
      </c>
      <c r="C6" s="1">
        <v>5005.5200000000004</v>
      </c>
      <c r="D6" s="1">
        <v>29.36</v>
      </c>
      <c r="E6" s="5">
        <v>5.8999999999999999E-3</v>
      </c>
    </row>
    <row r="7" spans="2:5">
      <c r="B7" s="1" t="s">
        <v>44</v>
      </c>
      <c r="C7" s="1">
        <v>6083.79</v>
      </c>
      <c r="D7" s="1">
        <v>152.01</v>
      </c>
      <c r="E7" s="5">
        <v>2.5600000000000001E-2</v>
      </c>
    </row>
    <row r="8" spans="2:5">
      <c r="B8" s="1" t="s">
        <v>45</v>
      </c>
      <c r="C8" s="1">
        <v>99.6</v>
      </c>
      <c r="D8" s="1">
        <v>0.98</v>
      </c>
      <c r="E8" s="5">
        <v>9.9000000000000008E-3</v>
      </c>
    </row>
    <row r="9" spans="2:5">
      <c r="B9" s="1" t="s">
        <v>46</v>
      </c>
      <c r="C9" s="1">
        <v>87.8</v>
      </c>
      <c r="D9" s="1">
        <v>-0.42</v>
      </c>
      <c r="E9" s="5">
        <v>-4.7999999999999996E-3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5"/>
  <sheetViews>
    <sheetView workbookViewId="0">
      <selection activeCell="C3" sqref="C3"/>
    </sheetView>
  </sheetViews>
  <sheetFormatPr defaultRowHeight="13.2"/>
  <cols>
    <col min="1" max="1" width="11.6640625" bestFit="1" customWidth="1"/>
    <col min="2" max="2" width="19.109375" bestFit="1" customWidth="1"/>
    <col min="4" max="4" width="5.77734375" customWidth="1"/>
    <col min="5" max="5" width="8.6640625" customWidth="1"/>
    <col min="6" max="6" width="11.6640625" bestFit="1" customWidth="1"/>
    <col min="7" max="7" width="13.77734375" bestFit="1" customWidth="1"/>
    <col min="8" max="9" width="9.88671875" bestFit="1" customWidth="1"/>
    <col min="10" max="10" width="6.44140625" customWidth="1"/>
  </cols>
  <sheetData>
    <row r="1" spans="1:10">
      <c r="A1" s="4" t="s">
        <v>23</v>
      </c>
      <c r="B1" s="4" t="s">
        <v>24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</row>
    <row r="2" spans="1:10">
      <c r="A2" s="4"/>
      <c r="B2" s="4"/>
      <c r="C2" s="4">
        <v>201</v>
      </c>
      <c r="D2" s="4"/>
      <c r="E2" s="4"/>
      <c r="F2" s="4"/>
      <c r="G2" s="4"/>
      <c r="H2" s="4"/>
      <c r="I2" s="4"/>
      <c r="J2" s="4"/>
    </row>
    <row r="3" spans="1:10">
      <c r="F3" s="3"/>
      <c r="G3" s="3"/>
    </row>
    <row r="4" spans="1:10">
      <c r="A4" s="4" t="s">
        <v>23</v>
      </c>
      <c r="B4" s="4" t="s">
        <v>24</v>
      </c>
      <c r="C4" s="4" t="s">
        <v>25</v>
      </c>
      <c r="D4" s="4" t="s">
        <v>26</v>
      </c>
      <c r="E4" s="4" t="s">
        <v>27</v>
      </c>
      <c r="F4" s="4" t="s">
        <v>28</v>
      </c>
      <c r="G4" s="4" t="s">
        <v>29</v>
      </c>
      <c r="H4" s="4" t="s">
        <v>30</v>
      </c>
      <c r="I4" s="4" t="s">
        <v>31</v>
      </c>
      <c r="J4" s="4" t="s">
        <v>32</v>
      </c>
    </row>
    <row r="5" spans="1:10">
      <c r="A5">
        <v>90007</v>
      </c>
      <c r="B5">
        <v>10007</v>
      </c>
      <c r="C5">
        <v>201</v>
      </c>
      <c r="D5" t="s">
        <v>33</v>
      </c>
      <c r="E5">
        <v>1000</v>
      </c>
      <c r="F5" s="3">
        <v>42093</v>
      </c>
      <c r="G5" s="3">
        <v>42459</v>
      </c>
      <c r="H5">
        <v>0.02</v>
      </c>
      <c r="I5">
        <v>0.01</v>
      </c>
      <c r="J5" t="s">
        <v>35</v>
      </c>
    </row>
    <row r="6" spans="1:10">
      <c r="A6">
        <v>90008</v>
      </c>
      <c r="B6">
        <v>10008</v>
      </c>
      <c r="C6">
        <v>201</v>
      </c>
      <c r="D6" t="s">
        <v>33</v>
      </c>
      <c r="E6">
        <v>1000</v>
      </c>
      <c r="F6" s="3">
        <v>42093</v>
      </c>
      <c r="G6" s="3">
        <v>43920</v>
      </c>
      <c r="H6">
        <v>0.02</v>
      </c>
      <c r="I6">
        <v>0.01</v>
      </c>
      <c r="J6" t="s">
        <v>35</v>
      </c>
    </row>
    <row r="7" spans="1:10">
      <c r="F7" s="3"/>
      <c r="G7" s="3"/>
    </row>
    <row r="8" spans="1:10">
      <c r="F8" s="3"/>
      <c r="G8" s="3"/>
    </row>
    <row r="9" spans="1:10">
      <c r="F9" s="3"/>
      <c r="G9" s="3"/>
    </row>
    <row r="10" spans="1:10">
      <c r="F10" s="3"/>
      <c r="G10" s="3"/>
    </row>
    <row r="11" spans="1:10">
      <c r="F11" s="3"/>
      <c r="G11" s="3"/>
    </row>
    <row r="12" spans="1:10">
      <c r="F12" s="3"/>
      <c r="G12" s="3"/>
    </row>
    <row r="13" spans="1:10">
      <c r="F13" s="3"/>
      <c r="G13" s="3"/>
    </row>
    <row r="14" spans="1:10">
      <c r="F14" s="3"/>
      <c r="G14" s="3"/>
    </row>
    <row r="15" spans="1:10">
      <c r="F15" s="3"/>
      <c r="G15" s="3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U38"/>
  <sheetViews>
    <sheetView workbookViewId="0">
      <selection activeCell="A8" sqref="A8"/>
    </sheetView>
  </sheetViews>
  <sheetFormatPr defaultRowHeight="13.2"/>
  <cols>
    <col min="1" max="1" width="3.44140625" customWidth="1"/>
    <col min="2" max="2" width="9.44140625" bestFit="1" customWidth="1"/>
    <col min="3" max="3" width="7.44140625" customWidth="1"/>
    <col min="4" max="4" width="11.21875" bestFit="1" customWidth="1"/>
    <col min="5" max="5" width="6.21875" customWidth="1"/>
    <col min="6" max="6" width="7.21875" customWidth="1"/>
    <col min="7" max="7" width="8.33203125" customWidth="1"/>
    <col min="8" max="9" width="5.44140625" customWidth="1"/>
    <col min="10" max="10" width="8.33203125" customWidth="1"/>
    <col min="11" max="11" width="5.21875" customWidth="1"/>
    <col min="12" max="12" width="15" bestFit="1" customWidth="1"/>
    <col min="14" max="14" width="7.109375" customWidth="1"/>
    <col min="15" max="15" width="13" bestFit="1" customWidth="1"/>
    <col min="16" max="16" width="7.109375" customWidth="1"/>
    <col min="17" max="17" width="5.21875" customWidth="1"/>
    <col min="18" max="18" width="7" customWidth="1"/>
    <col min="20" max="20" width="17.109375" bestFit="1" customWidth="1"/>
    <col min="21" max="21" width="21.21875" bestFit="1" customWidth="1"/>
    <col min="22" max="22" width="5.44140625" customWidth="1"/>
    <col min="23" max="23" width="8.33203125" customWidth="1"/>
    <col min="24" max="24" width="5.21875" customWidth="1"/>
    <col min="25" max="25" width="15" bestFit="1" customWidth="1"/>
    <col min="27" max="27" width="7.109375" customWidth="1"/>
    <col min="28" max="28" width="13" bestFit="1" customWidth="1"/>
    <col min="29" max="29" width="7.109375" customWidth="1"/>
    <col min="30" max="30" width="5.21875" customWidth="1"/>
    <col min="31" max="31" width="7" customWidth="1"/>
  </cols>
  <sheetData>
    <row r="2" spans="1:21">
      <c r="B2">
        <v>2015</v>
      </c>
      <c r="C2" t="s">
        <v>128</v>
      </c>
    </row>
    <row r="4" spans="1:21">
      <c r="A4" t="s">
        <v>59</v>
      </c>
      <c r="B4" t="s">
        <v>60</v>
      </c>
      <c r="D4" t="s">
        <v>61</v>
      </c>
      <c r="G4" t="s">
        <v>62</v>
      </c>
      <c r="J4" t="s">
        <v>63</v>
      </c>
      <c r="L4" t="s">
        <v>64</v>
      </c>
      <c r="Q4" t="s">
        <v>65</v>
      </c>
      <c r="R4" t="s">
        <v>68</v>
      </c>
      <c r="T4" t="s">
        <v>69</v>
      </c>
    </row>
    <row r="5" spans="1:21">
      <c r="B5" t="s">
        <v>70</v>
      </c>
      <c r="C5" t="s">
        <v>71</v>
      </c>
      <c r="Q5" t="s">
        <v>66</v>
      </c>
    </row>
    <row r="6" spans="1:21">
      <c r="B6" t="s">
        <v>72</v>
      </c>
      <c r="C6" t="s">
        <v>72</v>
      </c>
      <c r="D6" t="s">
        <v>73</v>
      </c>
      <c r="E6" t="s">
        <v>74</v>
      </c>
      <c r="G6" t="s">
        <v>72</v>
      </c>
      <c r="H6" t="s">
        <v>75</v>
      </c>
      <c r="I6" t="s">
        <v>76</v>
      </c>
      <c r="J6" t="s">
        <v>72</v>
      </c>
      <c r="K6" t="s">
        <v>77</v>
      </c>
      <c r="L6" t="s">
        <v>72</v>
      </c>
      <c r="M6" t="s">
        <v>79</v>
      </c>
      <c r="O6" t="s">
        <v>80</v>
      </c>
      <c r="Q6" t="s">
        <v>67</v>
      </c>
      <c r="R6" t="s">
        <v>81</v>
      </c>
      <c r="S6" t="s">
        <v>82</v>
      </c>
      <c r="T6" t="s">
        <v>83</v>
      </c>
      <c r="U6" t="s">
        <v>85</v>
      </c>
    </row>
    <row r="7" spans="1:21">
      <c r="E7" t="s">
        <v>87</v>
      </c>
      <c r="F7" t="s">
        <v>88</v>
      </c>
      <c r="L7" t="s">
        <v>78</v>
      </c>
      <c r="M7" t="s">
        <v>78</v>
      </c>
      <c r="N7" t="s">
        <v>89</v>
      </c>
      <c r="O7" t="s">
        <v>78</v>
      </c>
      <c r="P7" t="s">
        <v>89</v>
      </c>
      <c r="R7" t="s">
        <v>73</v>
      </c>
      <c r="S7" t="s">
        <v>90</v>
      </c>
      <c r="T7" t="s">
        <v>84</v>
      </c>
      <c r="U7" t="s">
        <v>86</v>
      </c>
    </row>
    <row r="8" spans="1:21">
      <c r="A8">
        <v>1</v>
      </c>
      <c r="B8">
        <v>1000.4</v>
      </c>
      <c r="C8">
        <v>1003.4</v>
      </c>
      <c r="D8">
        <v>0</v>
      </c>
      <c r="E8">
        <v>0</v>
      </c>
      <c r="F8">
        <v>0</v>
      </c>
      <c r="G8">
        <v>3.7</v>
      </c>
      <c r="H8">
        <v>8.1999999999999993</v>
      </c>
      <c r="I8">
        <v>0.7</v>
      </c>
      <c r="J8">
        <v>41</v>
      </c>
      <c r="K8">
        <v>30</v>
      </c>
      <c r="L8">
        <v>4.4000000000000004</v>
      </c>
      <c r="M8">
        <v>9.4</v>
      </c>
      <c r="N8" t="s">
        <v>91</v>
      </c>
      <c r="O8">
        <v>18.7</v>
      </c>
      <c r="P8" t="s">
        <v>92</v>
      </c>
      <c r="Q8">
        <v>1.3</v>
      </c>
      <c r="R8" t="s">
        <v>93</v>
      </c>
      <c r="S8" t="s">
        <v>93</v>
      </c>
      <c r="T8" t="s">
        <v>94</v>
      </c>
      <c r="U8" t="s">
        <v>95</v>
      </c>
    </row>
    <row r="9" spans="1:21">
      <c r="A9">
        <v>2</v>
      </c>
      <c r="B9">
        <v>1007.4</v>
      </c>
      <c r="C9">
        <v>1010.4</v>
      </c>
      <c r="D9" t="s">
        <v>93</v>
      </c>
      <c r="E9" t="s">
        <v>93</v>
      </c>
      <c r="F9" t="s">
        <v>93</v>
      </c>
      <c r="G9">
        <v>2.7</v>
      </c>
      <c r="H9">
        <v>7.9</v>
      </c>
      <c r="I9">
        <v>-2.2000000000000002</v>
      </c>
      <c r="J9">
        <v>41</v>
      </c>
      <c r="K9">
        <v>19</v>
      </c>
      <c r="L9">
        <v>2.1</v>
      </c>
      <c r="M9">
        <v>4.2</v>
      </c>
      <c r="N9" t="s">
        <v>91</v>
      </c>
      <c r="O9">
        <v>7.8</v>
      </c>
      <c r="P9" t="s">
        <v>91</v>
      </c>
      <c r="Q9">
        <v>6</v>
      </c>
      <c r="R9" t="s">
        <v>93</v>
      </c>
      <c r="S9" t="s">
        <v>93</v>
      </c>
      <c r="T9" t="s">
        <v>96</v>
      </c>
      <c r="U9" t="s">
        <v>97</v>
      </c>
    </row>
    <row r="10" spans="1:21">
      <c r="A10">
        <v>3</v>
      </c>
      <c r="B10">
        <v>1012</v>
      </c>
      <c r="C10">
        <v>1015.1</v>
      </c>
      <c r="D10" t="s">
        <v>93</v>
      </c>
      <c r="E10" t="s">
        <v>93</v>
      </c>
      <c r="F10" t="s">
        <v>93</v>
      </c>
      <c r="G10">
        <v>3.8</v>
      </c>
      <c r="H10">
        <v>8.9</v>
      </c>
      <c r="I10">
        <v>-1.1000000000000001</v>
      </c>
      <c r="J10">
        <v>42</v>
      </c>
      <c r="K10">
        <v>19</v>
      </c>
      <c r="L10">
        <v>3</v>
      </c>
      <c r="M10">
        <v>7.4</v>
      </c>
      <c r="N10" t="s">
        <v>98</v>
      </c>
      <c r="O10">
        <v>10.9</v>
      </c>
      <c r="P10" t="s">
        <v>98</v>
      </c>
      <c r="Q10">
        <v>8.9</v>
      </c>
      <c r="R10" t="s">
        <v>93</v>
      </c>
      <c r="S10" t="s">
        <v>93</v>
      </c>
      <c r="T10" t="s">
        <v>95</v>
      </c>
      <c r="U10" t="s">
        <v>99</v>
      </c>
    </row>
    <row r="11" spans="1:21">
      <c r="A11">
        <v>4</v>
      </c>
      <c r="B11">
        <v>1010.4</v>
      </c>
      <c r="C11">
        <v>1013.4</v>
      </c>
      <c r="D11" t="s">
        <v>93</v>
      </c>
      <c r="E11" t="s">
        <v>93</v>
      </c>
      <c r="F11" t="s">
        <v>93</v>
      </c>
      <c r="G11">
        <v>4</v>
      </c>
      <c r="H11">
        <v>9.3000000000000007</v>
      </c>
      <c r="I11">
        <v>-0.4</v>
      </c>
      <c r="J11">
        <v>51</v>
      </c>
      <c r="K11">
        <v>33</v>
      </c>
      <c r="L11">
        <v>1.3</v>
      </c>
      <c r="M11">
        <v>2.8</v>
      </c>
      <c r="N11" t="s">
        <v>98</v>
      </c>
      <c r="O11">
        <v>3.8</v>
      </c>
      <c r="P11" t="s">
        <v>100</v>
      </c>
      <c r="Q11">
        <v>6</v>
      </c>
      <c r="R11" t="s">
        <v>93</v>
      </c>
      <c r="S11" t="s">
        <v>93</v>
      </c>
      <c r="T11" t="s">
        <v>101</v>
      </c>
      <c r="U11" t="s">
        <v>95</v>
      </c>
    </row>
    <row r="12" spans="1:21">
      <c r="A12">
        <v>5</v>
      </c>
      <c r="B12">
        <v>1014.6</v>
      </c>
      <c r="C12">
        <v>1017.5</v>
      </c>
      <c r="D12" t="s">
        <v>93</v>
      </c>
      <c r="E12" t="s">
        <v>93</v>
      </c>
      <c r="F12" t="s">
        <v>93</v>
      </c>
      <c r="G12">
        <v>6.9</v>
      </c>
      <c r="H12">
        <v>12.9</v>
      </c>
      <c r="I12">
        <v>1.3</v>
      </c>
      <c r="J12">
        <v>56</v>
      </c>
      <c r="K12">
        <v>29</v>
      </c>
      <c r="L12">
        <v>2.4</v>
      </c>
      <c r="M12">
        <v>5</v>
      </c>
      <c r="N12" t="s">
        <v>92</v>
      </c>
      <c r="O12">
        <v>9.1</v>
      </c>
      <c r="P12" t="s">
        <v>92</v>
      </c>
      <c r="Q12">
        <v>8.9</v>
      </c>
      <c r="R12" t="s">
        <v>93</v>
      </c>
      <c r="S12" t="s">
        <v>93</v>
      </c>
      <c r="T12" t="s">
        <v>95</v>
      </c>
      <c r="U12" t="s">
        <v>102</v>
      </c>
    </row>
    <row r="13" spans="1:21">
      <c r="A13">
        <v>6</v>
      </c>
      <c r="B13">
        <v>1000.6</v>
      </c>
      <c r="C13">
        <v>1003.5</v>
      </c>
      <c r="D13">
        <v>6.5</v>
      </c>
      <c r="E13">
        <v>5</v>
      </c>
      <c r="F13">
        <v>1.5</v>
      </c>
      <c r="G13">
        <v>10.8</v>
      </c>
      <c r="H13">
        <v>16</v>
      </c>
      <c r="I13">
        <v>5.8</v>
      </c>
      <c r="J13">
        <v>64</v>
      </c>
      <c r="K13">
        <v>40</v>
      </c>
      <c r="L13">
        <v>5.2</v>
      </c>
      <c r="M13">
        <v>8.9</v>
      </c>
      <c r="N13" t="s">
        <v>103</v>
      </c>
      <c r="O13">
        <v>19.3</v>
      </c>
      <c r="P13" t="s">
        <v>104</v>
      </c>
      <c r="Q13">
        <v>0.2</v>
      </c>
      <c r="R13" t="s">
        <v>93</v>
      </c>
      <c r="S13" t="s">
        <v>93</v>
      </c>
      <c r="T13" t="s">
        <v>105</v>
      </c>
      <c r="U13" t="s">
        <v>106</v>
      </c>
    </row>
    <row r="14" spans="1:21">
      <c r="A14">
        <v>7</v>
      </c>
      <c r="B14">
        <v>1000.5</v>
      </c>
      <c r="C14">
        <v>1003.4</v>
      </c>
      <c r="D14" t="s">
        <v>93</v>
      </c>
      <c r="E14" t="s">
        <v>93</v>
      </c>
      <c r="F14" t="s">
        <v>93</v>
      </c>
      <c r="G14">
        <v>5.6</v>
      </c>
      <c r="H14">
        <v>10.199999999999999</v>
      </c>
      <c r="I14">
        <v>3</v>
      </c>
      <c r="J14">
        <v>35</v>
      </c>
      <c r="K14">
        <v>23</v>
      </c>
      <c r="L14">
        <v>4.2</v>
      </c>
      <c r="M14">
        <v>7</v>
      </c>
      <c r="N14" t="s">
        <v>92</v>
      </c>
      <c r="O14">
        <v>16.100000000000001</v>
      </c>
      <c r="P14" t="s">
        <v>92</v>
      </c>
      <c r="Q14">
        <v>3.3</v>
      </c>
      <c r="R14" t="s">
        <v>93</v>
      </c>
      <c r="S14" t="s">
        <v>93</v>
      </c>
      <c r="T14" t="s">
        <v>96</v>
      </c>
      <c r="U14" t="s">
        <v>95</v>
      </c>
    </row>
    <row r="15" spans="1:21">
      <c r="A15">
        <v>8</v>
      </c>
      <c r="B15">
        <v>1006.2</v>
      </c>
      <c r="C15">
        <v>1009.2</v>
      </c>
      <c r="D15" t="s">
        <v>93</v>
      </c>
      <c r="E15" t="s">
        <v>93</v>
      </c>
      <c r="F15" t="s">
        <v>93</v>
      </c>
      <c r="G15">
        <v>6.2</v>
      </c>
      <c r="H15">
        <v>11.2</v>
      </c>
      <c r="I15">
        <v>2</v>
      </c>
      <c r="J15">
        <v>33</v>
      </c>
      <c r="K15">
        <v>20</v>
      </c>
      <c r="L15">
        <v>4.4000000000000004</v>
      </c>
      <c r="M15">
        <v>8.4</v>
      </c>
      <c r="N15" t="s">
        <v>91</v>
      </c>
      <c r="O15">
        <v>13.6</v>
      </c>
      <c r="P15" t="s">
        <v>92</v>
      </c>
      <c r="Q15">
        <v>8.9</v>
      </c>
      <c r="R15" t="s">
        <v>93</v>
      </c>
      <c r="S15" t="s">
        <v>93</v>
      </c>
      <c r="T15" t="s">
        <v>95</v>
      </c>
      <c r="U15" t="s">
        <v>95</v>
      </c>
    </row>
    <row r="16" spans="1:21">
      <c r="A16">
        <v>9</v>
      </c>
      <c r="B16">
        <v>1008.2</v>
      </c>
      <c r="C16">
        <v>1011.2</v>
      </c>
      <c r="D16" t="s">
        <v>93</v>
      </c>
      <c r="E16" t="s">
        <v>93</v>
      </c>
      <c r="F16" t="s">
        <v>93</v>
      </c>
      <c r="G16">
        <v>6.7</v>
      </c>
      <c r="H16">
        <v>11</v>
      </c>
      <c r="I16">
        <v>3.5</v>
      </c>
      <c r="J16">
        <v>31</v>
      </c>
      <c r="K16">
        <v>21</v>
      </c>
      <c r="L16">
        <v>4.0999999999999996</v>
      </c>
      <c r="M16">
        <v>8.1</v>
      </c>
      <c r="N16" t="s">
        <v>91</v>
      </c>
      <c r="O16">
        <v>14.4</v>
      </c>
      <c r="P16" t="s">
        <v>91</v>
      </c>
      <c r="Q16">
        <v>8.9</v>
      </c>
      <c r="R16" t="s">
        <v>93</v>
      </c>
      <c r="S16" t="s">
        <v>93</v>
      </c>
      <c r="T16" t="s">
        <v>95</v>
      </c>
      <c r="U16" t="s">
        <v>95</v>
      </c>
    </row>
    <row r="17" spans="1:21">
      <c r="A17">
        <v>10</v>
      </c>
      <c r="B17">
        <v>1008.8</v>
      </c>
      <c r="C17">
        <v>1011.8</v>
      </c>
      <c r="D17" t="s">
        <v>93</v>
      </c>
      <c r="E17" t="s">
        <v>93</v>
      </c>
      <c r="F17" t="s">
        <v>93</v>
      </c>
      <c r="G17">
        <v>6.3</v>
      </c>
      <c r="H17">
        <v>11.2</v>
      </c>
      <c r="I17">
        <v>1.9</v>
      </c>
      <c r="J17">
        <v>31</v>
      </c>
      <c r="K17">
        <v>16</v>
      </c>
      <c r="L17">
        <v>3.5</v>
      </c>
      <c r="M17">
        <v>8.8000000000000007</v>
      </c>
      <c r="N17" t="s">
        <v>91</v>
      </c>
      <c r="O17">
        <v>17.7</v>
      </c>
      <c r="P17" t="s">
        <v>91</v>
      </c>
      <c r="Q17">
        <v>9.1</v>
      </c>
      <c r="R17" t="s">
        <v>93</v>
      </c>
      <c r="S17" t="s">
        <v>93</v>
      </c>
      <c r="T17" t="s">
        <v>95</v>
      </c>
      <c r="U17" t="s">
        <v>95</v>
      </c>
    </row>
    <row r="18" spans="1:21">
      <c r="A18">
        <v>11</v>
      </c>
      <c r="B18">
        <v>1008.7</v>
      </c>
      <c r="C18">
        <v>1011.7</v>
      </c>
      <c r="D18" t="s">
        <v>93</v>
      </c>
      <c r="E18" t="s">
        <v>93</v>
      </c>
      <c r="F18" t="s">
        <v>93</v>
      </c>
      <c r="G18">
        <v>6.4</v>
      </c>
      <c r="H18">
        <v>10.8</v>
      </c>
      <c r="I18">
        <v>0.2</v>
      </c>
      <c r="J18">
        <v>46</v>
      </c>
      <c r="K18">
        <v>30</v>
      </c>
      <c r="L18">
        <v>2.7</v>
      </c>
      <c r="M18">
        <v>5.7</v>
      </c>
      <c r="N18" t="s">
        <v>107</v>
      </c>
      <c r="O18">
        <v>10</v>
      </c>
      <c r="P18" t="s">
        <v>92</v>
      </c>
      <c r="Q18">
        <v>9.1</v>
      </c>
      <c r="R18" t="s">
        <v>93</v>
      </c>
      <c r="S18" t="s">
        <v>93</v>
      </c>
      <c r="T18" t="s">
        <v>95</v>
      </c>
      <c r="U18" t="s">
        <v>97</v>
      </c>
    </row>
    <row r="19" spans="1:21">
      <c r="A19">
        <v>12</v>
      </c>
      <c r="B19">
        <v>1016.3</v>
      </c>
      <c r="C19">
        <v>1019.3</v>
      </c>
      <c r="D19" t="s">
        <v>93</v>
      </c>
      <c r="E19" t="s">
        <v>93</v>
      </c>
      <c r="F19" t="s">
        <v>93</v>
      </c>
      <c r="G19">
        <v>5.2</v>
      </c>
      <c r="H19">
        <v>9</v>
      </c>
      <c r="I19">
        <v>2</v>
      </c>
      <c r="J19">
        <v>39</v>
      </c>
      <c r="K19">
        <v>25</v>
      </c>
      <c r="L19">
        <v>4.5999999999999996</v>
      </c>
      <c r="M19">
        <v>9.1</v>
      </c>
      <c r="N19" t="s">
        <v>91</v>
      </c>
      <c r="O19">
        <v>15.8</v>
      </c>
      <c r="P19" t="s">
        <v>91</v>
      </c>
      <c r="Q19">
        <v>9.1</v>
      </c>
      <c r="R19" t="s">
        <v>93</v>
      </c>
      <c r="S19" t="s">
        <v>93</v>
      </c>
      <c r="T19" t="s">
        <v>95</v>
      </c>
      <c r="U19" t="s">
        <v>95</v>
      </c>
    </row>
    <row r="20" spans="1:21">
      <c r="A20">
        <v>13</v>
      </c>
      <c r="B20">
        <v>1024.9000000000001</v>
      </c>
      <c r="C20">
        <v>1027.9000000000001</v>
      </c>
      <c r="D20" t="s">
        <v>93</v>
      </c>
      <c r="E20" t="s">
        <v>93</v>
      </c>
      <c r="F20" t="s">
        <v>93</v>
      </c>
      <c r="G20">
        <v>6.6</v>
      </c>
      <c r="H20">
        <v>11.8</v>
      </c>
      <c r="I20">
        <v>2.5</v>
      </c>
      <c r="J20">
        <v>38</v>
      </c>
      <c r="K20">
        <v>24</v>
      </c>
      <c r="L20">
        <v>3.3</v>
      </c>
      <c r="M20">
        <v>7.5</v>
      </c>
      <c r="N20" t="s">
        <v>98</v>
      </c>
      <c r="O20">
        <v>11.1</v>
      </c>
      <c r="P20" t="s">
        <v>98</v>
      </c>
      <c r="Q20">
        <v>9.1</v>
      </c>
      <c r="R20" t="s">
        <v>93</v>
      </c>
      <c r="S20" t="s">
        <v>93</v>
      </c>
      <c r="T20" t="s">
        <v>95</v>
      </c>
      <c r="U20" t="s">
        <v>108</v>
      </c>
    </row>
    <row r="21" spans="1:21">
      <c r="A21">
        <v>14</v>
      </c>
      <c r="B21">
        <v>1023.9</v>
      </c>
      <c r="C21">
        <v>1026.9000000000001</v>
      </c>
      <c r="D21" t="s">
        <v>93</v>
      </c>
      <c r="E21" t="s">
        <v>93</v>
      </c>
      <c r="F21" t="s">
        <v>93</v>
      </c>
      <c r="G21">
        <v>6.6</v>
      </c>
      <c r="H21">
        <v>11.5</v>
      </c>
      <c r="I21">
        <v>1.2</v>
      </c>
      <c r="J21">
        <v>50</v>
      </c>
      <c r="K21">
        <v>34</v>
      </c>
      <c r="L21" t="s">
        <v>109</v>
      </c>
      <c r="M21">
        <v>3.5</v>
      </c>
      <c r="N21" t="s">
        <v>91</v>
      </c>
      <c r="O21">
        <v>5.9</v>
      </c>
      <c r="P21" t="s">
        <v>91</v>
      </c>
      <c r="Q21">
        <v>5.9</v>
      </c>
      <c r="R21" t="s">
        <v>93</v>
      </c>
      <c r="S21" t="s">
        <v>93</v>
      </c>
      <c r="T21" t="s">
        <v>110</v>
      </c>
      <c r="U21" t="s">
        <v>111</v>
      </c>
    </row>
    <row r="22" spans="1:21">
      <c r="A22">
        <v>15</v>
      </c>
      <c r="B22">
        <v>1009.7</v>
      </c>
      <c r="C22">
        <v>1012.7</v>
      </c>
      <c r="D22">
        <v>35.5</v>
      </c>
      <c r="E22">
        <v>11</v>
      </c>
      <c r="F22">
        <v>2.5</v>
      </c>
      <c r="G22">
        <v>5.4</v>
      </c>
      <c r="H22">
        <v>8.1999999999999993</v>
      </c>
      <c r="I22">
        <v>3.4</v>
      </c>
      <c r="J22">
        <v>76</v>
      </c>
      <c r="K22">
        <v>46</v>
      </c>
      <c r="L22">
        <v>3.2</v>
      </c>
      <c r="M22">
        <v>8.1</v>
      </c>
      <c r="N22" t="s">
        <v>92</v>
      </c>
      <c r="O22">
        <v>14.1</v>
      </c>
      <c r="P22" t="s">
        <v>91</v>
      </c>
      <c r="Q22">
        <v>0</v>
      </c>
      <c r="R22" t="s">
        <v>93</v>
      </c>
      <c r="S22" t="s">
        <v>93</v>
      </c>
      <c r="T22" t="s">
        <v>112</v>
      </c>
      <c r="U22" t="s">
        <v>113</v>
      </c>
    </row>
    <row r="23" spans="1:21">
      <c r="A23">
        <v>16</v>
      </c>
      <c r="B23">
        <v>1009.7</v>
      </c>
      <c r="C23">
        <v>1012.6</v>
      </c>
      <c r="D23">
        <v>0</v>
      </c>
      <c r="E23">
        <v>0</v>
      </c>
      <c r="F23">
        <v>0</v>
      </c>
      <c r="G23">
        <v>8.9</v>
      </c>
      <c r="H23">
        <v>13.2</v>
      </c>
      <c r="I23">
        <v>4.9000000000000004</v>
      </c>
      <c r="J23">
        <v>54</v>
      </c>
      <c r="K23">
        <v>23</v>
      </c>
      <c r="L23">
        <v>2.8</v>
      </c>
      <c r="M23">
        <v>5.7</v>
      </c>
      <c r="N23" t="s">
        <v>114</v>
      </c>
      <c r="O23">
        <v>10.7</v>
      </c>
      <c r="P23" t="s">
        <v>98</v>
      </c>
      <c r="Q23">
        <v>6.9</v>
      </c>
      <c r="R23" t="s">
        <v>93</v>
      </c>
      <c r="S23" t="s">
        <v>93</v>
      </c>
      <c r="T23" t="s">
        <v>110</v>
      </c>
      <c r="U23" t="s">
        <v>101</v>
      </c>
    </row>
    <row r="24" spans="1:21">
      <c r="A24">
        <v>17</v>
      </c>
      <c r="B24">
        <v>1004.9</v>
      </c>
      <c r="C24">
        <v>1007.8</v>
      </c>
      <c r="D24">
        <v>0</v>
      </c>
      <c r="E24">
        <v>0</v>
      </c>
      <c r="F24">
        <v>0</v>
      </c>
      <c r="G24">
        <v>5.9</v>
      </c>
      <c r="H24">
        <v>11.6</v>
      </c>
      <c r="I24">
        <v>1.3</v>
      </c>
      <c r="J24">
        <v>56</v>
      </c>
      <c r="K24">
        <v>29</v>
      </c>
      <c r="L24">
        <v>4.2</v>
      </c>
      <c r="M24">
        <v>9.4</v>
      </c>
      <c r="N24" t="s">
        <v>92</v>
      </c>
      <c r="O24">
        <v>19.100000000000001</v>
      </c>
      <c r="P24" t="s">
        <v>92</v>
      </c>
      <c r="Q24">
        <v>6.9</v>
      </c>
      <c r="R24" t="s">
        <v>93</v>
      </c>
      <c r="S24" t="s">
        <v>93</v>
      </c>
      <c r="T24" t="s">
        <v>108</v>
      </c>
      <c r="U24" t="s">
        <v>95</v>
      </c>
    </row>
    <row r="25" spans="1:21">
      <c r="A25">
        <v>18</v>
      </c>
      <c r="B25">
        <v>1014.6</v>
      </c>
      <c r="C25">
        <v>1017.6</v>
      </c>
      <c r="D25" t="s">
        <v>93</v>
      </c>
      <c r="E25" t="s">
        <v>93</v>
      </c>
      <c r="F25" t="s">
        <v>93</v>
      </c>
      <c r="G25">
        <v>4.7</v>
      </c>
      <c r="H25">
        <v>10.9</v>
      </c>
      <c r="I25">
        <v>-0.5</v>
      </c>
      <c r="J25">
        <v>36</v>
      </c>
      <c r="K25">
        <v>18</v>
      </c>
      <c r="L25">
        <v>3.3</v>
      </c>
      <c r="M25">
        <v>6.4</v>
      </c>
      <c r="N25" t="s">
        <v>91</v>
      </c>
      <c r="O25">
        <v>11.5</v>
      </c>
      <c r="P25" t="s">
        <v>92</v>
      </c>
      <c r="Q25">
        <v>9.3000000000000007</v>
      </c>
      <c r="R25" t="s">
        <v>93</v>
      </c>
      <c r="S25" t="s">
        <v>93</v>
      </c>
      <c r="T25" t="s">
        <v>95</v>
      </c>
      <c r="U25" t="s">
        <v>115</v>
      </c>
    </row>
    <row r="26" spans="1:21">
      <c r="A26">
        <v>19</v>
      </c>
      <c r="B26">
        <v>1008.8</v>
      </c>
      <c r="C26">
        <v>1011.8</v>
      </c>
      <c r="D26" t="s">
        <v>93</v>
      </c>
      <c r="E26" t="s">
        <v>93</v>
      </c>
      <c r="F26" t="s">
        <v>93</v>
      </c>
      <c r="G26">
        <v>5.7</v>
      </c>
      <c r="H26">
        <v>11.7</v>
      </c>
      <c r="I26">
        <v>-0.7</v>
      </c>
      <c r="J26">
        <v>44</v>
      </c>
      <c r="K26">
        <v>25</v>
      </c>
      <c r="L26" t="s">
        <v>116</v>
      </c>
      <c r="M26">
        <v>5.7</v>
      </c>
      <c r="N26" t="s">
        <v>92</v>
      </c>
      <c r="O26">
        <v>10.199999999999999</v>
      </c>
      <c r="P26" t="s">
        <v>92</v>
      </c>
      <c r="Q26">
        <v>9</v>
      </c>
      <c r="R26" t="s">
        <v>93</v>
      </c>
      <c r="S26" t="s">
        <v>93</v>
      </c>
      <c r="T26" t="s">
        <v>108</v>
      </c>
      <c r="U26" t="s">
        <v>95</v>
      </c>
    </row>
    <row r="27" spans="1:21">
      <c r="A27">
        <v>20</v>
      </c>
      <c r="B27">
        <v>1018.9</v>
      </c>
      <c r="C27">
        <v>1021.9</v>
      </c>
      <c r="D27" t="s">
        <v>93</v>
      </c>
      <c r="E27" t="s">
        <v>93</v>
      </c>
      <c r="F27" t="s">
        <v>93</v>
      </c>
      <c r="G27">
        <v>6.3</v>
      </c>
      <c r="H27">
        <v>11.2</v>
      </c>
      <c r="I27">
        <v>2.7</v>
      </c>
      <c r="J27">
        <v>42</v>
      </c>
      <c r="K27">
        <v>27</v>
      </c>
      <c r="L27">
        <v>3.6</v>
      </c>
      <c r="M27">
        <v>6.8</v>
      </c>
      <c r="N27" t="s">
        <v>91</v>
      </c>
      <c r="O27">
        <v>12.6</v>
      </c>
      <c r="P27" t="s">
        <v>91</v>
      </c>
      <c r="Q27">
        <v>9.1999999999999993</v>
      </c>
      <c r="R27" t="s">
        <v>93</v>
      </c>
      <c r="S27" t="s">
        <v>93</v>
      </c>
      <c r="T27" t="s">
        <v>95</v>
      </c>
      <c r="U27" t="s">
        <v>110</v>
      </c>
    </row>
    <row r="28" spans="1:21">
      <c r="A28">
        <v>21</v>
      </c>
      <c r="B28">
        <v>1024.3</v>
      </c>
      <c r="C28">
        <v>1027.4000000000001</v>
      </c>
      <c r="D28">
        <v>4</v>
      </c>
      <c r="E28">
        <v>1.5</v>
      </c>
      <c r="F28">
        <v>0.5</v>
      </c>
      <c r="G28">
        <v>2.5</v>
      </c>
      <c r="H28">
        <v>3.8</v>
      </c>
      <c r="I28">
        <v>1.5</v>
      </c>
      <c r="J28">
        <v>69</v>
      </c>
      <c r="K28">
        <v>38</v>
      </c>
      <c r="L28">
        <v>3.1</v>
      </c>
      <c r="M28">
        <v>5</v>
      </c>
      <c r="N28" t="s">
        <v>92</v>
      </c>
      <c r="O28">
        <v>9.3000000000000007</v>
      </c>
      <c r="P28" t="s">
        <v>92</v>
      </c>
      <c r="Q28">
        <v>0</v>
      </c>
      <c r="R28" t="s">
        <v>93</v>
      </c>
      <c r="S28" t="s">
        <v>93</v>
      </c>
      <c r="T28" t="s">
        <v>117</v>
      </c>
      <c r="U28" t="s">
        <v>118</v>
      </c>
    </row>
    <row r="29" spans="1:21">
      <c r="A29">
        <v>22</v>
      </c>
      <c r="B29">
        <v>1009</v>
      </c>
      <c r="C29">
        <v>1012</v>
      </c>
      <c r="D29">
        <v>7.5</v>
      </c>
      <c r="E29">
        <v>2.5</v>
      </c>
      <c r="F29">
        <v>0.5</v>
      </c>
      <c r="G29">
        <v>4.5999999999999996</v>
      </c>
      <c r="H29">
        <v>5.6</v>
      </c>
      <c r="I29">
        <v>3.2</v>
      </c>
      <c r="J29">
        <v>91</v>
      </c>
      <c r="K29">
        <v>79</v>
      </c>
      <c r="L29">
        <v>2.4</v>
      </c>
      <c r="M29">
        <v>5.2</v>
      </c>
      <c r="N29" t="s">
        <v>92</v>
      </c>
      <c r="O29">
        <v>9.1</v>
      </c>
      <c r="P29" t="s">
        <v>91</v>
      </c>
      <c r="Q29">
        <v>0</v>
      </c>
      <c r="R29" t="s">
        <v>93</v>
      </c>
      <c r="S29" t="s">
        <v>93</v>
      </c>
      <c r="T29" t="s">
        <v>119</v>
      </c>
      <c r="U29" t="s">
        <v>120</v>
      </c>
    </row>
    <row r="30" spans="1:21">
      <c r="A30">
        <v>23</v>
      </c>
      <c r="B30">
        <v>1004.1</v>
      </c>
      <c r="C30">
        <v>1007.1</v>
      </c>
      <c r="D30">
        <v>7.5</v>
      </c>
      <c r="E30">
        <v>2.5</v>
      </c>
      <c r="F30">
        <v>1</v>
      </c>
      <c r="G30">
        <v>6.9</v>
      </c>
      <c r="H30">
        <v>12.8</v>
      </c>
      <c r="I30">
        <v>3.7</v>
      </c>
      <c r="J30">
        <v>63</v>
      </c>
      <c r="K30">
        <v>33</v>
      </c>
      <c r="L30">
        <v>4.3</v>
      </c>
      <c r="M30">
        <v>9.1</v>
      </c>
      <c r="N30" t="s">
        <v>92</v>
      </c>
      <c r="O30">
        <v>17.600000000000001</v>
      </c>
      <c r="P30" t="s">
        <v>121</v>
      </c>
      <c r="Q30">
        <v>6.8</v>
      </c>
      <c r="R30" t="s">
        <v>93</v>
      </c>
      <c r="S30" t="s">
        <v>93</v>
      </c>
      <c r="T30" t="s">
        <v>97</v>
      </c>
      <c r="U30" t="s">
        <v>95</v>
      </c>
    </row>
    <row r="31" spans="1:21">
      <c r="A31">
        <v>24</v>
      </c>
      <c r="B31">
        <v>1018.3</v>
      </c>
      <c r="C31">
        <v>1021.3</v>
      </c>
      <c r="D31" t="s">
        <v>93</v>
      </c>
      <c r="E31" t="s">
        <v>93</v>
      </c>
      <c r="F31" t="s">
        <v>93</v>
      </c>
      <c r="G31">
        <v>4.9000000000000004</v>
      </c>
      <c r="H31">
        <v>8.1</v>
      </c>
      <c r="I31">
        <v>2.9</v>
      </c>
      <c r="J31">
        <v>47</v>
      </c>
      <c r="K31">
        <v>35</v>
      </c>
      <c r="L31">
        <v>2.4</v>
      </c>
      <c r="M31">
        <v>6.6</v>
      </c>
      <c r="N31" t="s">
        <v>121</v>
      </c>
      <c r="O31">
        <v>10.9</v>
      </c>
      <c r="P31" t="s">
        <v>98</v>
      </c>
      <c r="Q31">
        <v>0.4</v>
      </c>
      <c r="R31" t="s">
        <v>93</v>
      </c>
      <c r="S31" t="s">
        <v>93</v>
      </c>
      <c r="T31" t="s">
        <v>111</v>
      </c>
      <c r="U31" t="s">
        <v>95</v>
      </c>
    </row>
    <row r="32" spans="1:21">
      <c r="A32">
        <v>25</v>
      </c>
      <c r="B32">
        <v>1024.3</v>
      </c>
      <c r="C32">
        <v>1027.3</v>
      </c>
      <c r="D32" t="s">
        <v>93</v>
      </c>
      <c r="E32" t="s">
        <v>93</v>
      </c>
      <c r="F32" t="s">
        <v>93</v>
      </c>
      <c r="G32">
        <v>7</v>
      </c>
      <c r="H32">
        <v>12.2</v>
      </c>
      <c r="I32">
        <v>0.9</v>
      </c>
      <c r="J32">
        <v>59</v>
      </c>
      <c r="K32">
        <v>40</v>
      </c>
      <c r="L32">
        <v>2</v>
      </c>
      <c r="M32">
        <v>4.9000000000000004</v>
      </c>
      <c r="N32" t="s">
        <v>114</v>
      </c>
      <c r="O32">
        <v>8.1999999999999993</v>
      </c>
      <c r="P32" t="s">
        <v>107</v>
      </c>
      <c r="Q32">
        <v>7.1</v>
      </c>
      <c r="R32" t="s">
        <v>93</v>
      </c>
      <c r="S32" t="s">
        <v>93</v>
      </c>
      <c r="T32" t="s">
        <v>99</v>
      </c>
      <c r="U32" t="s">
        <v>122</v>
      </c>
    </row>
    <row r="33" spans="1:21">
      <c r="A33">
        <v>26</v>
      </c>
      <c r="B33">
        <v>1019.1</v>
      </c>
      <c r="C33">
        <v>1022.1</v>
      </c>
      <c r="D33">
        <v>0.5</v>
      </c>
      <c r="E33">
        <v>0.5</v>
      </c>
      <c r="F33">
        <v>0.5</v>
      </c>
      <c r="G33">
        <v>9</v>
      </c>
      <c r="H33">
        <v>12.9</v>
      </c>
      <c r="I33">
        <v>5.6</v>
      </c>
      <c r="J33">
        <v>74</v>
      </c>
      <c r="K33">
        <v>52</v>
      </c>
      <c r="L33">
        <v>2</v>
      </c>
      <c r="M33">
        <v>3.8</v>
      </c>
      <c r="N33" t="s">
        <v>107</v>
      </c>
      <c r="O33">
        <v>6</v>
      </c>
      <c r="P33" t="s">
        <v>107</v>
      </c>
      <c r="Q33">
        <v>4.4000000000000004</v>
      </c>
      <c r="R33" t="s">
        <v>93</v>
      </c>
      <c r="S33" t="s">
        <v>93</v>
      </c>
      <c r="T33" t="s">
        <v>106</v>
      </c>
      <c r="U33" t="s">
        <v>119</v>
      </c>
    </row>
    <row r="34" spans="1:21">
      <c r="A34">
        <v>27</v>
      </c>
      <c r="B34">
        <v>1007</v>
      </c>
      <c r="C34">
        <v>1009.9</v>
      </c>
      <c r="D34">
        <v>14.5</v>
      </c>
      <c r="E34">
        <v>6</v>
      </c>
      <c r="F34">
        <v>1.5</v>
      </c>
      <c r="G34">
        <v>9.8000000000000007</v>
      </c>
      <c r="H34">
        <v>16.399999999999999</v>
      </c>
      <c r="I34">
        <v>5.8</v>
      </c>
      <c r="J34">
        <v>71</v>
      </c>
      <c r="K34">
        <v>40</v>
      </c>
      <c r="L34">
        <v>3.1</v>
      </c>
      <c r="M34">
        <v>6.3</v>
      </c>
      <c r="N34" t="s">
        <v>92</v>
      </c>
      <c r="O34">
        <v>12.1</v>
      </c>
      <c r="P34" t="s">
        <v>91</v>
      </c>
      <c r="Q34">
        <v>5.0999999999999996</v>
      </c>
      <c r="R34" t="s">
        <v>93</v>
      </c>
      <c r="S34" t="s">
        <v>93</v>
      </c>
      <c r="T34" t="s">
        <v>123</v>
      </c>
      <c r="U34" t="s">
        <v>124</v>
      </c>
    </row>
    <row r="35" spans="1:21">
      <c r="A35">
        <v>28</v>
      </c>
      <c r="B35">
        <v>1014.7</v>
      </c>
      <c r="C35">
        <v>1017.7</v>
      </c>
      <c r="D35">
        <v>0</v>
      </c>
      <c r="E35">
        <v>0</v>
      </c>
      <c r="F35">
        <v>0</v>
      </c>
      <c r="G35">
        <v>5.2</v>
      </c>
      <c r="H35">
        <v>9.6999999999999993</v>
      </c>
      <c r="I35">
        <v>1.4</v>
      </c>
      <c r="J35">
        <v>41</v>
      </c>
      <c r="K35">
        <v>20</v>
      </c>
      <c r="L35">
        <v>4</v>
      </c>
      <c r="M35">
        <v>7.6</v>
      </c>
      <c r="N35" t="s">
        <v>92</v>
      </c>
      <c r="O35">
        <v>14.6</v>
      </c>
      <c r="P35" t="s">
        <v>92</v>
      </c>
      <c r="Q35">
        <v>6.2</v>
      </c>
      <c r="R35" t="s">
        <v>93</v>
      </c>
      <c r="S35" t="s">
        <v>93</v>
      </c>
      <c r="T35" t="s">
        <v>125</v>
      </c>
      <c r="U35" t="s">
        <v>95</v>
      </c>
    </row>
    <row r="36" spans="1:21">
      <c r="A36">
        <v>29</v>
      </c>
      <c r="B36">
        <v>1023.4</v>
      </c>
      <c r="C36">
        <v>1026.4000000000001</v>
      </c>
      <c r="D36" t="s">
        <v>93</v>
      </c>
      <c r="E36" t="s">
        <v>93</v>
      </c>
      <c r="F36" t="s">
        <v>93</v>
      </c>
      <c r="G36">
        <v>3.9</v>
      </c>
      <c r="H36">
        <v>8.1999999999999993</v>
      </c>
      <c r="I36">
        <v>-0.9</v>
      </c>
      <c r="J36">
        <v>42</v>
      </c>
      <c r="K36">
        <v>22</v>
      </c>
      <c r="L36">
        <v>2.5</v>
      </c>
      <c r="M36">
        <v>5.0999999999999996</v>
      </c>
      <c r="N36" t="s">
        <v>92</v>
      </c>
      <c r="O36">
        <v>9.6999999999999993</v>
      </c>
      <c r="P36" t="s">
        <v>91</v>
      </c>
      <c r="Q36">
        <v>6.6</v>
      </c>
      <c r="R36" t="s">
        <v>93</v>
      </c>
      <c r="S36" t="s">
        <v>93</v>
      </c>
      <c r="T36" t="s">
        <v>110</v>
      </c>
      <c r="U36" t="s">
        <v>126</v>
      </c>
    </row>
    <row r="37" spans="1:21">
      <c r="A37">
        <v>30</v>
      </c>
      <c r="B37">
        <v>1013.9</v>
      </c>
      <c r="C37">
        <v>1017</v>
      </c>
      <c r="D37">
        <v>16.5</v>
      </c>
      <c r="E37">
        <v>3.5</v>
      </c>
      <c r="F37">
        <v>1</v>
      </c>
      <c r="G37">
        <v>2.2000000000000002</v>
      </c>
      <c r="H37">
        <v>4.7</v>
      </c>
      <c r="I37">
        <v>0.4</v>
      </c>
      <c r="J37">
        <v>88</v>
      </c>
      <c r="K37">
        <v>53</v>
      </c>
      <c r="L37">
        <v>3.3</v>
      </c>
      <c r="M37">
        <v>5.5</v>
      </c>
      <c r="N37" t="s">
        <v>92</v>
      </c>
      <c r="O37">
        <v>11</v>
      </c>
      <c r="P37" t="s">
        <v>92</v>
      </c>
      <c r="Q37">
        <v>0</v>
      </c>
      <c r="R37">
        <v>3</v>
      </c>
      <c r="S37">
        <v>3</v>
      </c>
      <c r="T37" t="s">
        <v>127</v>
      </c>
      <c r="U37" t="s">
        <v>96</v>
      </c>
    </row>
    <row r="38" spans="1:21">
      <c r="A38">
        <v>31</v>
      </c>
      <c r="B38">
        <v>1008.8</v>
      </c>
      <c r="C38">
        <v>1011.8</v>
      </c>
      <c r="D38" t="s">
        <v>93</v>
      </c>
      <c r="E38" t="s">
        <v>93</v>
      </c>
      <c r="F38" t="s">
        <v>93</v>
      </c>
      <c r="G38">
        <v>4.9000000000000004</v>
      </c>
      <c r="H38">
        <v>10.5</v>
      </c>
      <c r="I38">
        <v>0.8</v>
      </c>
      <c r="J38">
        <v>56</v>
      </c>
      <c r="K38">
        <v>19</v>
      </c>
      <c r="L38">
        <v>4.4000000000000004</v>
      </c>
      <c r="M38">
        <v>10.5</v>
      </c>
      <c r="N38" t="s">
        <v>91</v>
      </c>
      <c r="O38">
        <v>19.3</v>
      </c>
      <c r="P38" t="s">
        <v>98</v>
      </c>
      <c r="Q38">
        <v>9.4</v>
      </c>
      <c r="R38" t="s">
        <v>93</v>
      </c>
      <c r="S38">
        <v>1</v>
      </c>
      <c r="T38" t="s">
        <v>95</v>
      </c>
      <c r="U38" t="s">
        <v>95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2:E4"/>
  <sheetViews>
    <sheetView workbookViewId="0">
      <selection activeCell="G10" sqref="G10"/>
    </sheetView>
  </sheetViews>
  <sheetFormatPr defaultRowHeight="13.2"/>
  <sheetData>
    <row r="2" spans="1:5">
      <c r="B2">
        <v>2015</v>
      </c>
    </row>
    <row r="4" spans="1:5" ht="39.6">
      <c r="A4" s="10" t="s">
        <v>132</v>
      </c>
      <c r="B4" s="11" t="s">
        <v>133</v>
      </c>
      <c r="C4" s="11" t="s">
        <v>134</v>
      </c>
      <c r="D4" s="11" t="s">
        <v>135</v>
      </c>
      <c r="E4" s="11" t="s">
        <v>136</v>
      </c>
    </row>
  </sheetData>
  <phoneticPr fontId="1"/>
  <hyperlinks>
    <hyperlink ref="B4" r:id="rId1" display="http://www.data.jma.go.jp/obd/stats/etrn/view/daily_s1.php?prec_no=44&amp;block_no=47662&amp;year=2015&amp;month=02&amp;day=&amp;view=a1"/>
    <hyperlink ref="C4" r:id="rId2" display="http://www.data.jma.go.jp/obd/stats/etrn/view/daily_s1.php?prec_no=44&amp;block_no=47662&amp;year=2015&amp;month=02&amp;day=&amp;view=a2"/>
    <hyperlink ref="D4" r:id="rId3" display="http://www.data.jma.go.jp/obd/stats/etrn/view/daily_s1.php?prec_no=44&amp;block_no=47662&amp;year=2015&amp;month=02&amp;day=&amp;view=a3"/>
    <hyperlink ref="E4" r:id="rId4" display="http://www.data.jma.go.jp/obd/stats/etrn/view/daily_s1.php?prec_no=44&amp;block_no=47662&amp;year=2015&amp;month=02&amp;day=&amp;view=a4"/>
  </hyperlinks>
  <pageMargins left="0.7" right="0.7" top="0.75" bottom="0.75" header="0.3" footer="0.3"/>
  <pageSetup paperSize="9" orientation="portrait" horizontalDpi="4294967293" verticalDpi="0" r:id="rId5"/>
  <drawing r:id="rId6"/>
  <legacyDrawing r:id="rId7"/>
  <controls>
    <mc:AlternateContent xmlns:mc="http://schemas.openxmlformats.org/markup-compatibility/2006">
      <mc:Choice Requires="x14">
        <control shapeId="12289" r:id="rId8" name="Import">
          <controlPr defaultSize="0" autoLine="0" r:id="rId9">
            <anchor moveWithCells="1">
              <from>
                <xdr:col>4</xdr:col>
                <xdr:colOff>0</xdr:colOff>
                <xdr:row>0</xdr:row>
                <xdr:rowOff>160020</xdr:rowOff>
              </from>
              <to>
                <xdr:col>6</xdr:col>
                <xdr:colOff>175260</xdr:colOff>
                <xdr:row>2</xdr:row>
                <xdr:rowOff>152400</xdr:rowOff>
              </to>
            </anchor>
          </controlPr>
        </control>
      </mc:Choice>
      <mc:Fallback>
        <control shapeId="12289" r:id="rId8" name="Impor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8"/>
  <sheetViews>
    <sheetView workbookViewId="0">
      <selection activeCell="I22" sqref="I22"/>
    </sheetView>
  </sheetViews>
  <sheetFormatPr defaultRowHeight="13.2"/>
  <cols>
    <col min="1" max="1" width="13.88671875" bestFit="1" customWidth="1"/>
    <col min="2" max="2" width="8.5546875" style="7" bestFit="1" customWidth="1"/>
    <col min="3" max="5" width="12.77734375" style="7" bestFit="1" customWidth="1"/>
    <col min="6" max="6" width="11.6640625" style="7" bestFit="1" customWidth="1"/>
    <col min="7" max="7" width="13.109375" style="7" bestFit="1" customWidth="1"/>
    <col min="8" max="8" width="16.88671875" bestFit="1" customWidth="1"/>
    <col min="9" max="9" width="18" bestFit="1" customWidth="1"/>
    <col min="10" max="10" width="19.109375" bestFit="1" customWidth="1"/>
    <col min="11" max="11" width="20.6640625" bestFit="1" customWidth="1"/>
    <col min="12" max="13" width="22.88671875" bestFit="1" customWidth="1"/>
  </cols>
  <sheetData>
    <row r="1" spans="1:13">
      <c r="A1" t="s">
        <v>280</v>
      </c>
    </row>
    <row r="2" spans="1:13">
      <c r="A2" s="1" t="s">
        <v>274</v>
      </c>
      <c r="B2" s="32">
        <v>1</v>
      </c>
      <c r="C2" s="32">
        <v>5</v>
      </c>
      <c r="D2" s="32">
        <v>10</v>
      </c>
      <c r="E2" s="32">
        <v>11</v>
      </c>
      <c r="F2" s="32">
        <v>12</v>
      </c>
      <c r="G2" s="32">
        <v>13</v>
      </c>
      <c r="H2" s="32">
        <v>15</v>
      </c>
      <c r="I2" s="32">
        <v>16</v>
      </c>
      <c r="J2" s="32">
        <v>17</v>
      </c>
      <c r="K2" s="32">
        <v>18</v>
      </c>
      <c r="L2" s="32">
        <v>19</v>
      </c>
      <c r="M2" s="32">
        <v>20</v>
      </c>
    </row>
    <row r="3" spans="1:13">
      <c r="A3" s="1" t="s">
        <v>275</v>
      </c>
      <c r="B3" s="32">
        <f>B2</f>
        <v>1</v>
      </c>
      <c r="C3" s="32">
        <f t="shared" ref="C3:H3" si="0">C2</f>
        <v>5</v>
      </c>
      <c r="D3" s="32">
        <f t="shared" si="0"/>
        <v>10</v>
      </c>
      <c r="E3" s="32">
        <f t="shared" si="0"/>
        <v>11</v>
      </c>
      <c r="F3" s="32">
        <f t="shared" si="0"/>
        <v>12</v>
      </c>
      <c r="G3" s="32">
        <f t="shared" si="0"/>
        <v>13</v>
      </c>
      <c r="H3" s="32">
        <f t="shared" si="0"/>
        <v>15</v>
      </c>
      <c r="I3" s="32">
        <f>I2</f>
        <v>16</v>
      </c>
      <c r="J3" s="32">
        <f>J2</f>
        <v>17</v>
      </c>
      <c r="K3" s="32">
        <f>K2</f>
        <v>18</v>
      </c>
      <c r="L3" s="32">
        <f>L2</f>
        <v>19</v>
      </c>
      <c r="M3" s="32">
        <f>M2</f>
        <v>20</v>
      </c>
    </row>
    <row r="4" spans="1:13">
      <c r="A4" s="1" t="s">
        <v>276</v>
      </c>
      <c r="B4" s="33">
        <f>PERMUT(B2,B3)</f>
        <v>1</v>
      </c>
      <c r="C4" s="33">
        <f t="shared" ref="C4:H4" si="1">PERMUT(C2,C3)</f>
        <v>120</v>
      </c>
      <c r="D4" s="33">
        <f t="shared" si="1"/>
        <v>3628800</v>
      </c>
      <c r="E4" s="33">
        <f t="shared" si="1"/>
        <v>39916800</v>
      </c>
      <c r="F4" s="33">
        <f t="shared" si="1"/>
        <v>479001600</v>
      </c>
      <c r="G4" s="33">
        <f t="shared" si="1"/>
        <v>6227020800</v>
      </c>
      <c r="H4" s="33">
        <f t="shared" si="1"/>
        <v>1307674368000</v>
      </c>
      <c r="I4" s="33">
        <f>PERMUT(I2,I3)</f>
        <v>20922789888000</v>
      </c>
      <c r="J4" s="33">
        <f>PERMUT(J2,J3)</f>
        <v>355687428096000</v>
      </c>
      <c r="K4" s="33">
        <f>PERMUT(K2,K3)</f>
        <v>6402373705728000</v>
      </c>
      <c r="L4" s="33">
        <f>PERMUT(L2,L3)</f>
        <v>1.21645100408832E+17</v>
      </c>
      <c r="M4" s="33">
        <f>PERMUT(M2,M3)</f>
        <v>2.43290200817664E+18</v>
      </c>
    </row>
    <row r="5" spans="1:13" ht="13.8" thickBot="1">
      <c r="A5" s="34" t="s">
        <v>277</v>
      </c>
      <c r="B5" s="35">
        <f>FACT(B2)</f>
        <v>1</v>
      </c>
      <c r="C5" s="35">
        <f t="shared" ref="C5:H5" si="2">FACT(C2)</f>
        <v>120</v>
      </c>
      <c r="D5" s="35">
        <f t="shared" si="2"/>
        <v>3628800</v>
      </c>
      <c r="E5" s="35">
        <f t="shared" si="2"/>
        <v>39916800</v>
      </c>
      <c r="F5" s="35">
        <f t="shared" si="2"/>
        <v>479001600</v>
      </c>
      <c r="G5" s="35">
        <f t="shared" si="2"/>
        <v>6227020800</v>
      </c>
      <c r="H5" s="35">
        <f t="shared" si="2"/>
        <v>1307674368000</v>
      </c>
      <c r="I5" s="35">
        <f>FACT(I2)</f>
        <v>20922789888000</v>
      </c>
      <c r="J5" s="35">
        <f>FACT(J2)</f>
        <v>355687428096000</v>
      </c>
      <c r="K5" s="35">
        <f>FACT(K2)</f>
        <v>6402373705728000</v>
      </c>
      <c r="L5" s="35">
        <f>FACT(L2)</f>
        <v>1.21645100408832E+17</v>
      </c>
      <c r="M5" s="35">
        <f>FACT(M2)</f>
        <v>2.43290200817664E+18</v>
      </c>
    </row>
    <row r="6" spans="1:13" ht="14.4" thickTop="1" thickBot="1">
      <c r="A6" s="30" t="s">
        <v>278</v>
      </c>
      <c r="B6" s="30">
        <f>LN(B5)</f>
        <v>0</v>
      </c>
      <c r="C6" s="30">
        <f t="shared" ref="C6:H6" si="3">LN(C5)</f>
        <v>4.7874917427820458</v>
      </c>
      <c r="D6" s="30">
        <f t="shared" si="3"/>
        <v>15.104412573075516</v>
      </c>
      <c r="E6" s="30">
        <f t="shared" si="3"/>
        <v>17.502307845873887</v>
      </c>
      <c r="F6" s="30">
        <f t="shared" si="3"/>
        <v>19.987214495661885</v>
      </c>
      <c r="G6" s="30">
        <f t="shared" si="3"/>
        <v>22.552163853123425</v>
      </c>
      <c r="H6" s="30">
        <f t="shared" si="3"/>
        <v>27.89927138384089</v>
      </c>
      <c r="I6" s="30">
        <f>LN(I5)</f>
        <v>30.671860106080672</v>
      </c>
      <c r="J6" s="30">
        <f>LN(J5)</f>
        <v>33.505073450136891</v>
      </c>
      <c r="K6" s="30">
        <f>LN(K5)</f>
        <v>36.395445208033053</v>
      </c>
      <c r="L6" s="30">
        <f>LN(L5)</f>
        <v>39.339884187199495</v>
      </c>
      <c r="M6" s="39">
        <f>LN(M5)</f>
        <v>42.335616460753485</v>
      </c>
    </row>
    <row r="7" spans="1:13" ht="14.4" thickTop="1" thickBot="1">
      <c r="A7" s="30" t="s">
        <v>279</v>
      </c>
      <c r="B7" s="31">
        <f>B2*LN(B2)-B2</f>
        <v>-1</v>
      </c>
      <c r="C7" s="31">
        <f t="shared" ref="C7:H7" si="4">C2*LN(C2)-C2</f>
        <v>3.0471895621705016</v>
      </c>
      <c r="D7" s="31">
        <f t="shared" si="4"/>
        <v>13.025850929940461</v>
      </c>
      <c r="E7" s="31">
        <f t="shared" si="4"/>
        <v>15.376848000782076</v>
      </c>
      <c r="F7" s="31">
        <f t="shared" si="4"/>
        <v>17.818879797456006</v>
      </c>
      <c r="G7" s="31">
        <f t="shared" si="4"/>
        <v>20.344341646999979</v>
      </c>
      <c r="H7" s="31">
        <f t="shared" si="4"/>
        <v>25.620753016533151</v>
      </c>
      <c r="I7" s="31">
        <f>I2*LN(I2)-I2</f>
        <v>28.361419555836498</v>
      </c>
      <c r="J7" s="31">
        <f>J2*LN(J2)-J2</f>
        <v>31.164626848955677</v>
      </c>
      <c r="K7" s="31">
        <f>K2*LN(K2)-K2</f>
        <v>34.026691642130963</v>
      </c>
      <c r="L7" s="31">
        <f>L2*LN(L2)-L2</f>
        <v>36.944340604162363</v>
      </c>
      <c r="M7" s="40">
        <f>M2*LN(M2)-M2</f>
        <v>39.914645471079815</v>
      </c>
    </row>
    <row r="8" spans="1:13" s="36" customFormat="1" ht="13.8" thickTop="1">
      <c r="B8" s="37">
        <f>B6-B7</f>
        <v>1</v>
      </c>
      <c r="C8" s="37">
        <f t="shared" ref="C8:L8" si="5">C6-C7</f>
        <v>1.7403021806115442</v>
      </c>
      <c r="D8" s="38">
        <f t="shared" si="5"/>
        <v>2.0785616431350551</v>
      </c>
      <c r="E8" s="37">
        <f t="shared" si="5"/>
        <v>2.125459845091811</v>
      </c>
      <c r="F8" s="37">
        <f t="shared" si="5"/>
        <v>2.1683346982058787</v>
      </c>
      <c r="G8" s="37">
        <f t="shared" si="5"/>
        <v>2.2078222061234456</v>
      </c>
      <c r="H8" s="37">
        <f t="shared" si="5"/>
        <v>2.2785183673077398</v>
      </c>
      <c r="I8" s="37">
        <f t="shared" si="5"/>
        <v>2.3104405502441736</v>
      </c>
      <c r="J8" s="37">
        <f t="shared" si="5"/>
        <v>2.3404466011812133</v>
      </c>
      <c r="K8" s="37">
        <f t="shared" si="5"/>
        <v>2.3687535659020895</v>
      </c>
      <c r="L8" s="37">
        <f t="shared" si="5"/>
        <v>2.3955435830371314</v>
      </c>
      <c r="M8" s="41">
        <f>M6-M7</f>
        <v>2.4209709896736697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14</vt:i4>
      </vt:variant>
    </vt:vector>
  </HeadingPairs>
  <TitlesOfParts>
    <vt:vector size="30" baseType="lpstr">
      <vt:lpstr>CTRL</vt:lpstr>
      <vt:lpstr>Ladder</vt:lpstr>
      <vt:lpstr>Holiday</vt:lpstr>
      <vt:lpstr>Test</vt:lpstr>
      <vt:lpstr>Array</vt:lpstr>
      <vt:lpstr>MM</vt:lpstr>
      <vt:lpstr>FX</vt:lpstr>
      <vt:lpstr>BS</vt:lpstr>
      <vt:lpstr>CCY</vt:lpstr>
      <vt:lpstr>Sheet2</vt:lpstr>
      <vt:lpstr>Sheet3</vt:lpstr>
      <vt:lpstr>Sheet4</vt:lpstr>
      <vt:lpstr>Sheet5</vt:lpstr>
      <vt:lpstr>Sheet7</vt:lpstr>
      <vt:lpstr>Sheet8</vt:lpstr>
      <vt:lpstr>Math</vt:lpstr>
      <vt:lpstr>BaseDate</vt:lpstr>
      <vt:lpstr>Sheet5!Criteria</vt:lpstr>
      <vt:lpstr>Sheet7!daily_s1.php?prec_no_44_block_no_47662_year_2015_month_1_day__view__1</vt:lpstr>
      <vt:lpstr>ExeDate</vt:lpstr>
      <vt:lpstr>Sheet8!ExternalData_2</vt:lpstr>
      <vt:lpstr>Sheet5!Extract</vt:lpstr>
      <vt:lpstr>FilterConds</vt:lpstr>
      <vt:lpstr>FilterOut</vt:lpstr>
      <vt:lpstr>Sheet5!NewData</vt:lpstr>
      <vt:lpstr>NewData</vt:lpstr>
      <vt:lpstr>SptDate</vt:lpstr>
      <vt:lpstr>TomDate</vt:lpstr>
      <vt:lpstr>Sheet2!資金取引_4</vt:lpstr>
      <vt:lpstr>Sheet5!資金取引_4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2023-05-07T00:30:53Z</dcterms:modified>
</cp:coreProperties>
</file>